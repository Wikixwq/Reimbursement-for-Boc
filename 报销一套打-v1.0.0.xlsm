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717\报销\"/>
    </mc:Choice>
  </mc:AlternateContent>
  <xr:revisionPtr revIDLastSave="0" documentId="13_ncr:1_{0FF7AB78-A939-4291-B273-40C4453E89C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发票明细" sheetId="2" r:id="rId1"/>
    <sheet name="招待申请单" sheetId="3" r:id="rId2"/>
    <sheet name="数据库" sheetId="4" r:id="rId3"/>
    <sheet name="计算模块" sheetId="5" r:id="rId4"/>
    <sheet name="节假日清单" sheetId="6" r:id="rId5"/>
  </sheets>
  <definedNames>
    <definedName name="_xlnm.Print_Area" localSheetId="1">招待申请单!$A$1:$B$8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32" i="6" l="1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B3" i="3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F10" i="2"/>
  <c r="G9" i="2" l="1"/>
  <c r="G10" i="2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/>
  <c r="F26" i="2"/>
  <c r="G26" i="2" s="1"/>
  <c r="F27" i="2"/>
  <c r="G27" i="2" s="1"/>
  <c r="F28" i="2"/>
  <c r="G28" i="2" s="1"/>
  <c r="F29" i="2"/>
  <c r="G29" i="2" s="1"/>
  <c r="F30" i="2"/>
  <c r="G30" i="2" s="1"/>
  <c r="A17" i="4"/>
  <c r="B17" i="4" l="1"/>
  <c r="A19" i="4" s="1"/>
  <c r="C2" i="5"/>
  <c r="D2" i="5" s="1"/>
  <c r="B6" i="3" l="1"/>
  <c r="F2" i="2"/>
  <c r="G2" i="2" s="1"/>
</calcChain>
</file>

<file path=xl/sharedStrings.xml><?xml version="1.0" encoding="utf-8"?>
<sst xmlns="http://schemas.openxmlformats.org/spreadsheetml/2006/main" count="114" uniqueCount="100">
  <si>
    <t>发票号</t>
  </si>
  <si>
    <t>发票代码</t>
  </si>
  <si>
    <t>销方名称</t>
  </si>
  <si>
    <t>税额</t>
  </si>
  <si>
    <t>不含税金额</t>
  </si>
  <si>
    <t>发票总额</t>
  </si>
  <si>
    <t>税率(%)</t>
  </si>
  <si>
    <t>开票日期</t>
  </si>
  <si>
    <t>备注</t>
  </si>
  <si>
    <t>招待申请单</t>
  </si>
  <si>
    <t>招待时间</t>
  </si>
  <si>
    <t>招待地点</t>
  </si>
  <si>
    <t>招待对象</t>
  </si>
  <si>
    <t xml:space="preserve">经办： </t>
  </si>
  <si>
    <t xml:space="preserve">          审批： </t>
  </si>
  <si>
    <t>客户类型</t>
  </si>
  <si>
    <t>姓氏</t>
  </si>
  <si>
    <t>性别</t>
  </si>
  <si>
    <t>先生</t>
  </si>
  <si>
    <t>女士</t>
  </si>
  <si>
    <t>公司客户</t>
  </si>
  <si>
    <t>王</t>
  </si>
  <si>
    <t>李</t>
  </si>
  <si>
    <t>张</t>
  </si>
  <si>
    <t>刘</t>
  </si>
  <si>
    <t>陈</t>
  </si>
  <si>
    <t>杨</t>
  </si>
  <si>
    <t>黄</t>
  </si>
  <si>
    <t>周</t>
  </si>
  <si>
    <t>吴</t>
  </si>
  <si>
    <t>徐</t>
  </si>
  <si>
    <t>赵</t>
  </si>
  <si>
    <t>熊</t>
  </si>
  <si>
    <t>金</t>
  </si>
  <si>
    <t>开户渠道</t>
  </si>
  <si>
    <t>宴请人数计算</t>
  </si>
  <si>
    <t>金额</t>
  </si>
  <si>
    <t>实际人均</t>
  </si>
  <si>
    <t>要求人均</t>
  </si>
  <si>
    <t>深圳市南山区南山街道吴中诚猫派烤肉餐厅</t>
  </si>
  <si>
    <t>深圳市壹零零壹餐饮服务有限公司</t>
    <phoneticPr fontId="6" type="noConversion"/>
  </si>
  <si>
    <t>深圳市哥老官餐饮管理有限公司</t>
    <phoneticPr fontId="6" type="noConversion"/>
  </si>
  <si>
    <t>044032000211</t>
    <phoneticPr fontId="6" type="noConversion"/>
  </si>
  <si>
    <t>044032000111</t>
    <phoneticPr fontId="6" type="noConversion"/>
  </si>
  <si>
    <t>144032109110</t>
    <phoneticPr fontId="6" type="noConversion"/>
  </si>
  <si>
    <t>深圳市海底捞餐饮有限责任公司</t>
    <phoneticPr fontId="6" type="noConversion"/>
  </si>
  <si>
    <t>144032109110</t>
    <phoneticPr fontId="6" type="noConversion"/>
  </si>
  <si>
    <t>01327163</t>
    <phoneticPr fontId="6" type="noConversion"/>
  </si>
  <si>
    <t>01102668</t>
    <phoneticPr fontId="6" type="noConversion"/>
  </si>
  <si>
    <t>深圳市和喜餐饮管理有限公司南山来福士分公司</t>
    <phoneticPr fontId="6" type="noConversion"/>
  </si>
  <si>
    <t>53602523</t>
    <phoneticPr fontId="6" type="noConversion"/>
  </si>
  <si>
    <t>044032000111</t>
    <phoneticPr fontId="6" type="noConversion"/>
  </si>
  <si>
    <t>深圳市光明集团有限公司光明乳鸽饮食发展分公司</t>
    <phoneticPr fontId="6" type="noConversion"/>
  </si>
  <si>
    <t>00170918</t>
    <phoneticPr fontId="6" type="noConversion"/>
  </si>
  <si>
    <t>深圳市同仁四季餐饮管理有限公司南山分公司</t>
    <phoneticPr fontId="6" type="noConversion"/>
  </si>
  <si>
    <t>RICOH MP C5503 PCL 5c</t>
    <phoneticPr fontId="8" type="noConversion"/>
  </si>
  <si>
    <t>69421754</t>
    <phoneticPr fontId="6" type="noConversion"/>
  </si>
  <si>
    <t>27741212</t>
    <phoneticPr fontId="6" type="noConversion"/>
  </si>
  <si>
    <t>044032000211</t>
    <phoneticPr fontId="6" type="noConversion"/>
  </si>
  <si>
    <t>23325047</t>
    <phoneticPr fontId="6" type="noConversion"/>
  </si>
  <si>
    <t>92285049</t>
    <phoneticPr fontId="6" type="noConversion"/>
  </si>
  <si>
    <t>044031800211</t>
    <phoneticPr fontId="6" type="noConversion"/>
  </si>
  <si>
    <t>21586576</t>
    <phoneticPr fontId="6" type="noConversion"/>
  </si>
  <si>
    <t>07012996</t>
    <phoneticPr fontId="6" type="noConversion"/>
  </si>
  <si>
    <t>07484351</t>
    <phoneticPr fontId="6" type="noConversion"/>
  </si>
  <si>
    <t>61895646</t>
    <phoneticPr fontId="6" type="noConversion"/>
  </si>
  <si>
    <t>64968034</t>
    <phoneticPr fontId="6" type="noConversion"/>
  </si>
  <si>
    <t>09030263</t>
    <phoneticPr fontId="6" type="noConversion"/>
  </si>
  <si>
    <t>11542593</t>
    <phoneticPr fontId="6" type="noConversion"/>
  </si>
  <si>
    <t>67612351</t>
    <phoneticPr fontId="6" type="noConversion"/>
  </si>
  <si>
    <t>深圳润园四季餐饮有限公司</t>
    <phoneticPr fontId="6" type="noConversion"/>
  </si>
  <si>
    <t>馔豚食品（深圳）有限公司</t>
    <phoneticPr fontId="6" type="noConversion"/>
  </si>
  <si>
    <t>深圳同新餐饮管理有限公司</t>
    <phoneticPr fontId="6" type="noConversion"/>
  </si>
  <si>
    <t>深圳市八合里海记餐饮文化有限公司</t>
    <phoneticPr fontId="6" type="noConversion"/>
  </si>
  <si>
    <t>深圳市海底捞餐饮有限责任公司</t>
    <phoneticPr fontId="6" type="noConversion"/>
  </si>
  <si>
    <t>深圳市宝安区蔡南家一九二九湘味小馆</t>
    <phoneticPr fontId="6" type="noConversion"/>
  </si>
  <si>
    <t>深圳慈云堂餐饮管理有限公司</t>
    <phoneticPr fontId="6" type="noConversion"/>
  </si>
  <si>
    <t>国家税务总局深圳市税务局（代开电子发票）</t>
    <phoneticPr fontId="6" type="noConversion"/>
  </si>
  <si>
    <t>深圳市老鲁餐饮有限公司</t>
    <phoneticPr fontId="6" type="noConversion"/>
  </si>
  <si>
    <t>深圳市南山区崽儿重庆火锅店</t>
    <phoneticPr fontId="6" type="noConversion"/>
  </si>
  <si>
    <t>深圳市同升餐饮管理有限公司</t>
    <phoneticPr fontId="6" type="noConversion"/>
  </si>
  <si>
    <t>湘潭天宝兄弟餐饮管理有限公司深圳市南山分公司</t>
    <phoneticPr fontId="6" type="noConversion"/>
  </si>
  <si>
    <t>国庆节</t>
  </si>
  <si>
    <t>中秋节</t>
  </si>
  <si>
    <t>端午节</t>
  </si>
  <si>
    <t>劳动节</t>
  </si>
  <si>
    <t>清明节</t>
  </si>
  <si>
    <t>春节</t>
  </si>
  <si>
    <t>元旦</t>
  </si>
  <si>
    <t>国庆</t>
  </si>
  <si>
    <t>中秋</t>
  </si>
  <si>
    <t>端午</t>
  </si>
  <si>
    <t>五一</t>
  </si>
  <si>
    <t>清明</t>
  </si>
  <si>
    <t>2020：元旦1月1日放假，共1天；春节1月24日至30日放假调休，共7天，1月19日（星期日）、2月1日（星期六）上班；清明节4月4日至6日放假调休，共3天；劳动节5月1日至5日放假调休，共5天，4月26日（星期日）、5月9日（星期六）上班；端午节6月25日至27日放假调休，共3天，6月28日（星期日）上班；国庆节、中秋节10月1日至8日放假调休，共8天，9月27日（星期日）、10月10日（星期六）上班
2021年元旦、春节、清明节、劳动节、端午节、中秋节和国庆节放假调休日期的具体安排通知如下。
一、元旦：2021年1月1日至3日放假，共3天。
二、春节：2月11日至17日放假调休，共7天。2月7日（星期日）、2月20日（星期六）上班。
三、清明节：4月3日至5日放假调休，共3天。
四、劳动节：5月1日至5日放假调休，共5天。4月25日（星期日）、5月8日（星期六）上班。
五、端午节：6月12日至14日放假，共3天。
六、中秋节：9月19日至21日放假调休，共3天。9月18日（星期六）上班。
七、国庆节：10月1日至7日放假调休，共7天。9月26日（星期日）、10月9日（星期六）上班。</t>
  </si>
  <si>
    <t>结果</t>
    <phoneticPr fontId="1" type="noConversion"/>
  </si>
  <si>
    <t>日期</t>
    <phoneticPr fontId="1" type="noConversion"/>
  </si>
  <si>
    <t>调整工作日</t>
    <phoneticPr fontId="1" type="noConversion"/>
  </si>
  <si>
    <t>节日假期</t>
    <phoneticPr fontId="1" type="noConversion"/>
  </si>
  <si>
    <t>简称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</si>
</sst>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¥&quot;* #,##0.00_ ;_ &quot;¥&quot;* \-#,##0.00_ ;_ &quot;¥&quot;* &quot;-&quot;??_ ;_ @_ "/>
    <numFmt numFmtId="164" formatCode="yyyy\.mm\.dd"/>
    <numFmt numFmtId="165" formatCode="yyyy&quot;年&quot;m&quot;月&quot;d&quot;日&quot;;@"/>
  </numFmts>
  <fonts count="1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  <charset val="134"/>
    </font>
    <font>
      <b/>
      <sz val="14"/>
      <name val="宋体"/>
      <charset val="134"/>
    </font>
    <font>
      <b/>
      <sz val="12"/>
      <name val="宋体"/>
      <charset val="134"/>
    </font>
    <font>
      <sz val="14"/>
      <name val="宋体"/>
      <charset val="134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0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0"/>
      <color rgb="FFFF0000"/>
      <name val="Arial"/>
      <family val="2"/>
    </font>
    <font>
      <sz val="9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>
      <alignment vertical="center"/>
    </xf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2">
      <alignment vertical="center"/>
    </xf>
    <xf numFmtId="0" fontId="3" fillId="0" borderId="3" xfId="2" applyFont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5" fillId="0" borderId="4" xfId="2" applyFont="1" applyBorder="1">
      <alignment vertical="center"/>
    </xf>
    <xf numFmtId="0" fontId="5" fillId="0" borderId="0" xfId="2" applyFont="1">
      <alignment vertical="center"/>
    </xf>
    <xf numFmtId="0" fontId="1" fillId="0" borderId="0" xfId="1" applyFill="1"/>
    <xf numFmtId="164" fontId="1" fillId="0" borderId="0" xfId="1" applyNumberFormat="1" applyFill="1"/>
    <xf numFmtId="0" fontId="1" fillId="2" borderId="0" xfId="1" applyFill="1"/>
    <xf numFmtId="164" fontId="2" fillId="0" borderId="4" xfId="2" applyNumberFormat="1" applyBorder="1" applyAlignment="1">
      <alignment horizontal="center" vertical="center"/>
    </xf>
    <xf numFmtId="164" fontId="2" fillId="0" borderId="0" xfId="2" applyNumberFormat="1">
      <alignment vertical="center"/>
    </xf>
    <xf numFmtId="164" fontId="3" fillId="0" borderId="3" xfId="2" applyNumberFormat="1" applyFont="1" applyBorder="1" applyAlignment="1">
      <alignment horizontal="right" vertical="center"/>
    </xf>
    <xf numFmtId="1" fontId="0" fillId="0" borderId="0" xfId="0" applyNumberFormat="1"/>
    <xf numFmtId="0" fontId="2" fillId="0" borderId="4" xfId="2" applyBorder="1" applyAlignment="1">
      <alignment horizontal="center" vertical="center" wrapText="1" shrinkToFit="1"/>
    </xf>
    <xf numFmtId="9" fontId="1" fillId="2" borderId="0" xfId="3" applyFont="1" applyFill="1"/>
    <xf numFmtId="9" fontId="1" fillId="0" borderId="0" xfId="3" applyFont="1" applyFill="1"/>
    <xf numFmtId="0" fontId="9" fillId="0" borderId="0" xfId="1" applyFont="1" applyFill="1"/>
    <xf numFmtId="49" fontId="1" fillId="2" borderId="0" xfId="1" applyNumberFormat="1" applyFill="1"/>
    <xf numFmtId="49" fontId="1" fillId="0" borderId="0" xfId="1" applyNumberFormat="1" applyFill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2" xfId="0" applyBorder="1"/>
    <xf numFmtId="0" fontId="0" fillId="0" borderId="0" xfId="0" applyAlignment="1">
      <alignment vertical="center"/>
    </xf>
    <xf numFmtId="165" fontId="0" fillId="0" borderId="4" xfId="0" applyNumberFormat="1" applyBorder="1"/>
    <xf numFmtId="0" fontId="0" fillId="0" borderId="4" xfId="0" applyBorder="1" applyAlignment="1">
      <alignment vertical="center"/>
    </xf>
    <xf numFmtId="0" fontId="10" fillId="0" borderId="0" xfId="0" applyFont="1" applyAlignment="1">
      <alignment horizontal="center"/>
    </xf>
    <xf numFmtId="165" fontId="10" fillId="0" borderId="0" xfId="0" applyNumberFormat="1" applyFont="1" applyAlignment="1">
      <alignment horizontal="center"/>
    </xf>
    <xf numFmtId="165" fontId="10" fillId="0" borderId="4" xfId="0" applyNumberFormat="1" applyFont="1" applyBorder="1" applyAlignment="1">
      <alignment horizontal="center"/>
    </xf>
    <xf numFmtId="0" fontId="3" fillId="0" borderId="1" xfId="2" applyFont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1" fillId="0" borderId="0" xfId="1" applyFont="1" applyFill="1"/>
    <xf numFmtId="0" fontId="9" fillId="2" borderId="0" xfId="1" applyFont="1" applyFill="1"/>
    <xf numFmtId="14" fontId="1" fillId="2" borderId="0" xfId="4" applyNumberFormat="1" applyFont="1" applyFill="1"/>
  </cellXfs>
  <cellStyles count="5">
    <cellStyle name="百分比" xfId="3" builtinId="5"/>
    <cellStyle name="常规" xfId="0" builtinId="0"/>
    <cellStyle name="常规 2" xfId="1" xr:uid="{00000000-0005-0000-0000-000002000000}"/>
    <cellStyle name="常规 3" xfId="2" xr:uid="{00000000-0005-0000-0000-000003000000}"/>
    <cellStyle name="货币" xfId="4" builtinId="4"/>
  </cellStyles>
  <dxfs count="2">
    <dxf>
      <fill>
        <patternFill>
          <bgColor rgb="FFFFE79B"/>
        </patternFill>
      </fill>
    </dxf>
    <dxf>
      <fill>
        <patternFill>
          <bgColor rgb="FFFF8B8B"/>
        </patternFill>
      </fill>
    </dxf>
  </dxfs>
  <tableStyles count="0" defaultTableStyle="TableStyleMedium2" defaultPivotStyle="PivotStyleLight16"/>
  <colors>
    <mruColors>
      <color rgb="FFFF8B8B"/>
      <color rgb="FFFFE7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0</xdr:row>
          <xdr:rowOff>0</xdr:rowOff>
        </xdr:from>
        <xdr:to>
          <xdr:col>12</xdr:col>
          <xdr:colOff>83820</xdr:colOff>
          <xdr:row>1</xdr:row>
          <xdr:rowOff>60960</xdr:rowOff>
        </xdr:to>
        <xdr:sp macro="" textlink="">
          <xdr:nvSpPr>
            <xdr:cNvPr id="1027" name="Labe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打印</a:t>
              </a: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617220</xdr:colOff>
          <xdr:row>0</xdr:row>
          <xdr:rowOff>15240</xdr:rowOff>
        </xdr:from>
        <xdr:to>
          <xdr:col>13</xdr:col>
          <xdr:colOff>175260</xdr:colOff>
          <xdr:row>1</xdr:row>
          <xdr:rowOff>38100</xdr:rowOff>
        </xdr:to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选择打印机</a:t>
              </a:r>
            </a:p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标签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1</xdr:row>
          <xdr:rowOff>22860</xdr:rowOff>
        </xdr:from>
        <xdr:to>
          <xdr:col>13</xdr:col>
          <xdr:colOff>541020</xdr:colOff>
          <xdr:row>3</xdr:row>
          <xdr:rowOff>137160</xdr:rowOff>
        </xdr:to>
        <xdr:sp macro="" textlink="">
          <xdr:nvSpPr>
            <xdr:cNvPr id="1029" name="Labe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日期方格显红色说明是节假日；</a:t>
              </a:r>
            </a:p>
            <a:p>
              <a:pPr algn="l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日期方格显橙色说明是节假日。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  <pageSetUpPr autoPageBreaks="0" fitToPage="1"/>
  </sheetPr>
  <dimension ref="A1:M31"/>
  <sheetViews>
    <sheetView tabSelected="1" workbookViewId="0">
      <pane ySplit="1" topLeftCell="A2" activePane="bottomLeft" state="frozen"/>
      <selection pane="bottomLeft" activeCell="C2" sqref="C2"/>
    </sheetView>
  </sheetViews>
  <sheetFormatPr defaultColWidth="9.109375" defaultRowHeight="13.2"/>
  <cols>
    <col min="1" max="1" width="9.109375" style="7"/>
    <col min="2" max="2" width="12.88671875" style="19" customWidth="1"/>
    <col min="3" max="3" width="34.6640625" style="7" customWidth="1"/>
    <col min="4" max="4" width="9.109375" style="7"/>
    <col min="5" max="5" width="11" style="7" customWidth="1"/>
    <col min="6" max="6" width="9.109375" style="7"/>
    <col min="7" max="7" width="9.109375" style="16"/>
    <col min="8" max="8" width="11.44140625" style="8" customWidth="1"/>
    <col min="9" max="260" width="9.109375" style="7"/>
    <col min="261" max="261" width="11" style="7" customWidth="1"/>
    <col min="262" max="516" width="9.109375" style="7"/>
    <col min="517" max="517" width="11" style="7" customWidth="1"/>
    <col min="518" max="772" width="9.109375" style="7"/>
    <col min="773" max="773" width="11" style="7" customWidth="1"/>
    <col min="774" max="1028" width="9.109375" style="7"/>
    <col min="1029" max="1029" width="11" style="7" customWidth="1"/>
    <col min="1030" max="1284" width="9.109375" style="7"/>
    <col min="1285" max="1285" width="11" style="7" customWidth="1"/>
    <col min="1286" max="1540" width="9.109375" style="7"/>
    <col min="1541" max="1541" width="11" style="7" customWidth="1"/>
    <col min="1542" max="1796" width="9.109375" style="7"/>
    <col min="1797" max="1797" width="11" style="7" customWidth="1"/>
    <col min="1798" max="2052" width="9.109375" style="7"/>
    <col min="2053" max="2053" width="11" style="7" customWidth="1"/>
    <col min="2054" max="2308" width="9.109375" style="7"/>
    <col min="2309" max="2309" width="11" style="7" customWidth="1"/>
    <col min="2310" max="2564" width="9.109375" style="7"/>
    <col min="2565" max="2565" width="11" style="7" customWidth="1"/>
    <col min="2566" max="2820" width="9.109375" style="7"/>
    <col min="2821" max="2821" width="11" style="7" customWidth="1"/>
    <col min="2822" max="3076" width="9.109375" style="7"/>
    <col min="3077" max="3077" width="11" style="7" customWidth="1"/>
    <col min="3078" max="3332" width="9.109375" style="7"/>
    <col min="3333" max="3333" width="11" style="7" customWidth="1"/>
    <col min="3334" max="3588" width="9.109375" style="7"/>
    <col min="3589" max="3589" width="11" style="7" customWidth="1"/>
    <col min="3590" max="3844" width="9.109375" style="7"/>
    <col min="3845" max="3845" width="11" style="7" customWidth="1"/>
    <col min="3846" max="4100" width="9.109375" style="7"/>
    <col min="4101" max="4101" width="11" style="7" customWidth="1"/>
    <col min="4102" max="4356" width="9.109375" style="7"/>
    <col min="4357" max="4357" width="11" style="7" customWidth="1"/>
    <col min="4358" max="4612" width="9.109375" style="7"/>
    <col min="4613" max="4613" width="11" style="7" customWidth="1"/>
    <col min="4614" max="4868" width="9.109375" style="7"/>
    <col min="4869" max="4869" width="11" style="7" customWidth="1"/>
    <col min="4870" max="5124" width="9.109375" style="7"/>
    <col min="5125" max="5125" width="11" style="7" customWidth="1"/>
    <col min="5126" max="5380" width="9.109375" style="7"/>
    <col min="5381" max="5381" width="11" style="7" customWidth="1"/>
    <col min="5382" max="5636" width="9.109375" style="7"/>
    <col min="5637" max="5637" width="11" style="7" customWidth="1"/>
    <col min="5638" max="5892" width="9.109375" style="7"/>
    <col min="5893" max="5893" width="11" style="7" customWidth="1"/>
    <col min="5894" max="6148" width="9.109375" style="7"/>
    <col min="6149" max="6149" width="11" style="7" customWidth="1"/>
    <col min="6150" max="6404" width="9.109375" style="7"/>
    <col min="6405" max="6405" width="11" style="7" customWidth="1"/>
    <col min="6406" max="6660" width="9.109375" style="7"/>
    <col min="6661" max="6661" width="11" style="7" customWidth="1"/>
    <col min="6662" max="6916" width="9.109375" style="7"/>
    <col min="6917" max="6917" width="11" style="7" customWidth="1"/>
    <col min="6918" max="7172" width="9.109375" style="7"/>
    <col min="7173" max="7173" width="11" style="7" customWidth="1"/>
    <col min="7174" max="7428" width="9.109375" style="7"/>
    <col min="7429" max="7429" width="11" style="7" customWidth="1"/>
    <col min="7430" max="7684" width="9.109375" style="7"/>
    <col min="7685" max="7685" width="11" style="7" customWidth="1"/>
    <col min="7686" max="7940" width="9.109375" style="7"/>
    <col min="7941" max="7941" width="11" style="7" customWidth="1"/>
    <col min="7942" max="8196" width="9.109375" style="7"/>
    <col min="8197" max="8197" width="11" style="7" customWidth="1"/>
    <col min="8198" max="8452" width="9.109375" style="7"/>
    <col min="8453" max="8453" width="11" style="7" customWidth="1"/>
    <col min="8454" max="8708" width="9.109375" style="7"/>
    <col min="8709" max="8709" width="11" style="7" customWidth="1"/>
    <col min="8710" max="8964" width="9.109375" style="7"/>
    <col min="8965" max="8965" width="11" style="7" customWidth="1"/>
    <col min="8966" max="9220" width="9.109375" style="7"/>
    <col min="9221" max="9221" width="11" style="7" customWidth="1"/>
    <col min="9222" max="9476" width="9.109375" style="7"/>
    <col min="9477" max="9477" width="11" style="7" customWidth="1"/>
    <col min="9478" max="9732" width="9.109375" style="7"/>
    <col min="9733" max="9733" width="11" style="7" customWidth="1"/>
    <col min="9734" max="9988" width="9.109375" style="7"/>
    <col min="9989" max="9989" width="11" style="7" customWidth="1"/>
    <col min="9990" max="10244" width="9.109375" style="7"/>
    <col min="10245" max="10245" width="11" style="7" customWidth="1"/>
    <col min="10246" max="10500" width="9.109375" style="7"/>
    <col min="10501" max="10501" width="11" style="7" customWidth="1"/>
    <col min="10502" max="10756" width="9.109375" style="7"/>
    <col min="10757" max="10757" width="11" style="7" customWidth="1"/>
    <col min="10758" max="11012" width="9.109375" style="7"/>
    <col min="11013" max="11013" width="11" style="7" customWidth="1"/>
    <col min="11014" max="11268" width="9.109375" style="7"/>
    <col min="11269" max="11269" width="11" style="7" customWidth="1"/>
    <col min="11270" max="11524" width="9.109375" style="7"/>
    <col min="11525" max="11525" width="11" style="7" customWidth="1"/>
    <col min="11526" max="11780" width="9.109375" style="7"/>
    <col min="11781" max="11781" width="11" style="7" customWidth="1"/>
    <col min="11782" max="12036" width="9.109375" style="7"/>
    <col min="12037" max="12037" width="11" style="7" customWidth="1"/>
    <col min="12038" max="12292" width="9.109375" style="7"/>
    <col min="12293" max="12293" width="11" style="7" customWidth="1"/>
    <col min="12294" max="12548" width="9.109375" style="7"/>
    <col min="12549" max="12549" width="11" style="7" customWidth="1"/>
    <col min="12550" max="12804" width="9.109375" style="7"/>
    <col min="12805" max="12805" width="11" style="7" customWidth="1"/>
    <col min="12806" max="13060" width="9.109375" style="7"/>
    <col min="13061" max="13061" width="11" style="7" customWidth="1"/>
    <col min="13062" max="13316" width="9.109375" style="7"/>
    <col min="13317" max="13317" width="11" style="7" customWidth="1"/>
    <col min="13318" max="13572" width="9.109375" style="7"/>
    <col min="13573" max="13573" width="11" style="7" customWidth="1"/>
    <col min="13574" max="13828" width="9.109375" style="7"/>
    <col min="13829" max="13829" width="11" style="7" customWidth="1"/>
    <col min="13830" max="14084" width="9.109375" style="7"/>
    <col min="14085" max="14085" width="11" style="7" customWidth="1"/>
    <col min="14086" max="14340" width="9.109375" style="7"/>
    <col min="14341" max="14341" width="11" style="7" customWidth="1"/>
    <col min="14342" max="14596" width="9.109375" style="7"/>
    <col min="14597" max="14597" width="11" style="7" customWidth="1"/>
    <col min="14598" max="14852" width="9.109375" style="7"/>
    <col min="14853" max="14853" width="11" style="7" customWidth="1"/>
    <col min="14854" max="15108" width="9.109375" style="7"/>
    <col min="15109" max="15109" width="11" style="7" customWidth="1"/>
    <col min="15110" max="15364" width="9.109375" style="7"/>
    <col min="15365" max="15365" width="11" style="7" customWidth="1"/>
    <col min="15366" max="15620" width="9.109375" style="7"/>
    <col min="15621" max="15621" width="11" style="7" customWidth="1"/>
    <col min="15622" max="15876" width="9.109375" style="7"/>
    <col min="15877" max="15877" width="11" style="7" customWidth="1"/>
    <col min="15878" max="16132" width="9.109375" style="7"/>
    <col min="16133" max="16133" width="11" style="7" customWidth="1"/>
    <col min="16134" max="16384" width="9.109375" style="7"/>
  </cols>
  <sheetData>
    <row r="1" spans="1:13">
      <c r="A1" s="7" t="s">
        <v>0</v>
      </c>
      <c r="B1" s="19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16" t="s">
        <v>6</v>
      </c>
      <c r="H1" s="8" t="s">
        <v>7</v>
      </c>
      <c r="I1" s="7" t="s">
        <v>8</v>
      </c>
      <c r="J1" s="7" t="s">
        <v>99</v>
      </c>
      <c r="L1" s="33"/>
      <c r="M1" s="33"/>
    </row>
    <row r="2" spans="1:13" s="9" customFormat="1">
      <c r="A2" s="9">
        <v>25075232</v>
      </c>
      <c r="B2" s="18" t="s">
        <v>42</v>
      </c>
      <c r="C2" s="34" t="s">
        <v>40</v>
      </c>
      <c r="D2" s="9">
        <v>24.91</v>
      </c>
      <c r="E2" s="9">
        <v>415.09</v>
      </c>
      <c r="F2" s="9">
        <f>D2+E2</f>
        <v>440</v>
      </c>
      <c r="G2" s="15">
        <f>D2/F2</f>
        <v>5.6613636363636366E-2</v>
      </c>
      <c r="H2" s="35"/>
    </row>
    <row r="3" spans="1:13">
      <c r="A3" s="7">
        <v>53618040</v>
      </c>
      <c r="B3" s="19" t="s">
        <v>43</v>
      </c>
      <c r="C3" s="17" t="s">
        <v>41</v>
      </c>
      <c r="D3" s="7">
        <v>25.42</v>
      </c>
      <c r="E3" s="7">
        <v>423.58</v>
      </c>
      <c r="F3" s="7">
        <f t="shared" ref="F3:F10" si="0">D3+E3</f>
        <v>449</v>
      </c>
      <c r="G3" s="16">
        <f t="shared" ref="G3:G8" si="1">D3/F3</f>
        <v>5.6614699331848553E-2</v>
      </c>
      <c r="H3" s="8">
        <v>44215</v>
      </c>
    </row>
    <row r="4" spans="1:13">
      <c r="A4" s="7">
        <v>18976804</v>
      </c>
      <c r="B4" s="19" t="s">
        <v>43</v>
      </c>
      <c r="C4" s="17" t="s">
        <v>45</v>
      </c>
      <c r="D4" s="7">
        <v>22.07</v>
      </c>
      <c r="E4" s="7">
        <v>367.93</v>
      </c>
      <c r="F4" s="7">
        <f t="shared" si="0"/>
        <v>390</v>
      </c>
      <c r="G4" s="16">
        <f t="shared" si="1"/>
        <v>5.6589743589743592E-2</v>
      </c>
      <c r="H4" s="8">
        <v>44212</v>
      </c>
    </row>
    <row r="5" spans="1:13">
      <c r="A5" s="19" t="s">
        <v>47</v>
      </c>
      <c r="B5" s="19" t="s">
        <v>44</v>
      </c>
      <c r="C5" s="17" t="s">
        <v>39</v>
      </c>
      <c r="D5" s="7">
        <v>14.1</v>
      </c>
      <c r="E5" s="7">
        <v>469.9</v>
      </c>
      <c r="F5" s="7">
        <f t="shared" si="0"/>
        <v>484</v>
      </c>
      <c r="G5" s="16">
        <f t="shared" si="1"/>
        <v>2.9132231404958676E-2</v>
      </c>
      <c r="H5" s="8">
        <v>44210</v>
      </c>
    </row>
    <row r="6" spans="1:13">
      <c r="A6" s="19" t="s">
        <v>48</v>
      </c>
      <c r="B6" s="19" t="s">
        <v>46</v>
      </c>
      <c r="C6" s="17" t="s">
        <v>49</v>
      </c>
      <c r="D6" s="7">
        <v>0</v>
      </c>
      <c r="E6" s="7">
        <v>288</v>
      </c>
      <c r="F6" s="7">
        <f t="shared" si="0"/>
        <v>288</v>
      </c>
      <c r="G6" s="16">
        <f t="shared" si="1"/>
        <v>0</v>
      </c>
      <c r="H6" s="8">
        <v>44206</v>
      </c>
    </row>
    <row r="7" spans="1:13">
      <c r="A7" s="19" t="s">
        <v>50</v>
      </c>
      <c r="B7" s="19" t="s">
        <v>51</v>
      </c>
      <c r="C7" s="17" t="s">
        <v>52</v>
      </c>
      <c r="D7" s="7">
        <v>10.64</v>
      </c>
      <c r="E7" s="7">
        <v>177.36</v>
      </c>
      <c r="F7" s="7">
        <f t="shared" si="0"/>
        <v>188</v>
      </c>
      <c r="G7" s="16">
        <f t="shared" si="1"/>
        <v>5.6595744680851066E-2</v>
      </c>
      <c r="H7" s="8">
        <v>44201</v>
      </c>
    </row>
    <row r="8" spans="1:13">
      <c r="A8" s="19" t="s">
        <v>53</v>
      </c>
      <c r="B8" s="19" t="s">
        <v>46</v>
      </c>
      <c r="C8" s="17" t="s">
        <v>54</v>
      </c>
      <c r="D8" s="7">
        <v>0</v>
      </c>
      <c r="E8" s="7">
        <v>735</v>
      </c>
      <c r="F8" s="7">
        <f t="shared" si="0"/>
        <v>735</v>
      </c>
      <c r="G8" s="16">
        <f t="shared" si="1"/>
        <v>0</v>
      </c>
      <c r="H8" s="8">
        <v>44201</v>
      </c>
    </row>
    <row r="9" spans="1:13">
      <c r="A9" s="19" t="s">
        <v>56</v>
      </c>
      <c r="B9" s="19" t="s">
        <v>51</v>
      </c>
      <c r="C9" s="17" t="s">
        <v>70</v>
      </c>
      <c r="D9" s="7">
        <v>27.11</v>
      </c>
      <c r="E9" s="7">
        <v>451.89</v>
      </c>
      <c r="F9" s="7">
        <f t="shared" si="0"/>
        <v>479</v>
      </c>
      <c r="G9" s="16">
        <f t="shared" ref="G9:G30" si="2">D9/F9</f>
        <v>5.6597077244258873E-2</v>
      </c>
      <c r="H9" s="8">
        <v>44232</v>
      </c>
    </row>
    <row r="10" spans="1:13">
      <c r="A10" s="19" t="s">
        <v>57</v>
      </c>
      <c r="B10" s="19" t="s">
        <v>58</v>
      </c>
      <c r="C10" s="17" t="s">
        <v>71</v>
      </c>
      <c r="D10" s="7">
        <v>11.89</v>
      </c>
      <c r="E10" s="7">
        <v>198.11</v>
      </c>
      <c r="F10" s="7">
        <f t="shared" si="0"/>
        <v>210</v>
      </c>
      <c r="G10" s="16">
        <f t="shared" si="2"/>
        <v>5.6619047619047624E-2</v>
      </c>
      <c r="H10" s="8">
        <v>44237</v>
      </c>
    </row>
    <row r="11" spans="1:13">
      <c r="A11" s="19" t="s">
        <v>59</v>
      </c>
      <c r="B11" s="19" t="s">
        <v>51</v>
      </c>
      <c r="C11" s="17" t="s">
        <v>72</v>
      </c>
      <c r="D11" s="7">
        <v>9.85</v>
      </c>
      <c r="E11" s="7">
        <v>164.15</v>
      </c>
      <c r="F11" s="7">
        <f t="shared" ref="F11:F30" si="3">D11+E11</f>
        <v>174</v>
      </c>
      <c r="G11" s="16">
        <f t="shared" si="2"/>
        <v>5.6609195402298848E-2</v>
      </c>
      <c r="H11" s="8">
        <v>44249</v>
      </c>
    </row>
    <row r="12" spans="1:13">
      <c r="A12" s="19" t="s">
        <v>60</v>
      </c>
      <c r="B12" s="19" t="s">
        <v>61</v>
      </c>
      <c r="C12" s="17" t="s">
        <v>73</v>
      </c>
      <c r="D12" s="7">
        <v>25.19</v>
      </c>
      <c r="E12" s="7">
        <v>419.81</v>
      </c>
      <c r="F12" s="7">
        <f t="shared" si="3"/>
        <v>445</v>
      </c>
      <c r="G12" s="16">
        <f t="shared" si="2"/>
        <v>5.6606741573033713E-2</v>
      </c>
      <c r="H12" s="8">
        <v>44269</v>
      </c>
    </row>
    <row r="13" spans="1:13">
      <c r="A13" s="19" t="s">
        <v>62</v>
      </c>
      <c r="B13" s="19" t="s">
        <v>51</v>
      </c>
      <c r="C13" s="17" t="s">
        <v>74</v>
      </c>
      <c r="D13" s="7">
        <v>15</v>
      </c>
      <c r="E13" s="7">
        <v>250</v>
      </c>
      <c r="F13" s="7">
        <f t="shared" si="3"/>
        <v>265</v>
      </c>
      <c r="G13" s="16">
        <f t="shared" si="2"/>
        <v>5.6603773584905662E-2</v>
      </c>
      <c r="H13" s="8">
        <v>44276</v>
      </c>
    </row>
    <row r="14" spans="1:13">
      <c r="A14" s="19" t="s">
        <v>63</v>
      </c>
      <c r="B14" s="19" t="s">
        <v>46</v>
      </c>
      <c r="C14" s="17" t="s">
        <v>75</v>
      </c>
      <c r="D14" s="7">
        <v>4.4000000000000004</v>
      </c>
      <c r="E14" s="7">
        <v>146.6</v>
      </c>
      <c r="F14" s="7">
        <f t="shared" si="3"/>
        <v>151</v>
      </c>
      <c r="G14" s="16">
        <f t="shared" si="2"/>
        <v>2.9139072847682121E-2</v>
      </c>
      <c r="H14" s="8">
        <v>44277</v>
      </c>
    </row>
    <row r="15" spans="1:13">
      <c r="A15" s="19" t="s">
        <v>64</v>
      </c>
      <c r="B15" s="19" t="s">
        <v>46</v>
      </c>
      <c r="C15" s="17" t="s">
        <v>76</v>
      </c>
      <c r="D15" s="7">
        <v>0</v>
      </c>
      <c r="E15" s="7">
        <v>266</v>
      </c>
      <c r="F15" s="7">
        <f t="shared" si="3"/>
        <v>266</v>
      </c>
      <c r="G15" s="16">
        <f t="shared" si="2"/>
        <v>0</v>
      </c>
      <c r="H15" s="8">
        <v>44282</v>
      </c>
    </row>
    <row r="16" spans="1:13">
      <c r="A16" s="19" t="s">
        <v>65</v>
      </c>
      <c r="B16" s="19" t="s">
        <v>51</v>
      </c>
      <c r="C16" s="17" t="s">
        <v>77</v>
      </c>
      <c r="D16" s="7">
        <v>0</v>
      </c>
      <c r="E16" s="7">
        <v>311</v>
      </c>
      <c r="F16" s="7">
        <f t="shared" si="3"/>
        <v>311</v>
      </c>
      <c r="G16" s="16">
        <f t="shared" si="2"/>
        <v>0</v>
      </c>
      <c r="H16" s="8">
        <v>44283</v>
      </c>
    </row>
    <row r="17" spans="1:8">
      <c r="A17" s="19" t="s">
        <v>66</v>
      </c>
      <c r="B17" s="19" t="s">
        <v>58</v>
      </c>
      <c r="C17" s="17" t="s">
        <v>78</v>
      </c>
      <c r="D17" s="7">
        <v>5.5</v>
      </c>
      <c r="E17" s="7">
        <v>183.5</v>
      </c>
      <c r="F17" s="7">
        <f t="shared" si="3"/>
        <v>189</v>
      </c>
      <c r="G17" s="16">
        <f t="shared" si="2"/>
        <v>2.9100529100529099E-2</v>
      </c>
      <c r="H17" s="8">
        <v>44288</v>
      </c>
    </row>
    <row r="18" spans="1:8">
      <c r="A18" s="19" t="s">
        <v>67</v>
      </c>
      <c r="B18" s="19" t="s">
        <v>46</v>
      </c>
      <c r="C18" s="17" t="s">
        <v>79</v>
      </c>
      <c r="D18" s="7">
        <v>4.5599999999999996</v>
      </c>
      <c r="E18" s="7">
        <v>456.44</v>
      </c>
      <c r="F18" s="7">
        <f t="shared" si="3"/>
        <v>461</v>
      </c>
      <c r="G18" s="16">
        <f t="shared" si="2"/>
        <v>9.8915401301518432E-3</v>
      </c>
      <c r="H18" s="8">
        <v>44301</v>
      </c>
    </row>
    <row r="19" spans="1:8">
      <c r="A19" s="19" t="s">
        <v>68</v>
      </c>
      <c r="B19" s="19" t="s">
        <v>58</v>
      </c>
      <c r="C19" s="17" t="s">
        <v>80</v>
      </c>
      <c r="D19" s="7">
        <v>10.19</v>
      </c>
      <c r="E19" s="7">
        <v>169.81</v>
      </c>
      <c r="F19" s="7">
        <f t="shared" si="3"/>
        <v>180</v>
      </c>
      <c r="G19" s="16">
        <f t="shared" si="2"/>
        <v>5.6611111111111105E-2</v>
      </c>
      <c r="H19" s="8">
        <v>44305</v>
      </c>
    </row>
    <row r="20" spans="1:8">
      <c r="A20" s="19" t="s">
        <v>69</v>
      </c>
      <c r="B20" s="19" t="s">
        <v>58</v>
      </c>
      <c r="C20" s="17" t="s">
        <v>81</v>
      </c>
      <c r="D20" s="7">
        <v>9.52</v>
      </c>
      <c r="E20" s="7">
        <v>952.48</v>
      </c>
      <c r="F20" s="7">
        <f t="shared" si="3"/>
        <v>962</v>
      </c>
      <c r="G20" s="16">
        <f t="shared" si="2"/>
        <v>9.8960498960498963E-3</v>
      </c>
      <c r="H20" s="8">
        <v>44309</v>
      </c>
    </row>
    <row r="21" spans="1:8">
      <c r="A21" s="19"/>
      <c r="F21" s="7">
        <f t="shared" si="3"/>
        <v>0</v>
      </c>
      <c r="G21" s="16" t="e">
        <f t="shared" si="2"/>
        <v>#DIV/0!</v>
      </c>
    </row>
    <row r="22" spans="1:8">
      <c r="A22" s="19"/>
      <c r="F22" s="7">
        <f t="shared" si="3"/>
        <v>0</v>
      </c>
      <c r="G22" s="16" t="e">
        <f t="shared" si="2"/>
        <v>#DIV/0!</v>
      </c>
    </row>
    <row r="23" spans="1:8">
      <c r="A23" s="19"/>
      <c r="F23" s="7">
        <f t="shared" si="3"/>
        <v>0</v>
      </c>
      <c r="G23" s="16" t="e">
        <f t="shared" si="2"/>
        <v>#DIV/0!</v>
      </c>
    </row>
    <row r="24" spans="1:8">
      <c r="A24" s="19"/>
      <c r="F24" s="7">
        <f t="shared" si="3"/>
        <v>0</v>
      </c>
      <c r="G24" s="16" t="e">
        <f t="shared" si="2"/>
        <v>#DIV/0!</v>
      </c>
    </row>
    <row r="25" spans="1:8">
      <c r="A25" s="19"/>
      <c r="F25" s="7">
        <f t="shared" si="3"/>
        <v>0</v>
      </c>
      <c r="G25" s="16" t="e">
        <f t="shared" si="2"/>
        <v>#DIV/0!</v>
      </c>
    </row>
    <row r="26" spans="1:8">
      <c r="A26" s="19"/>
      <c r="F26" s="7">
        <f t="shared" si="3"/>
        <v>0</v>
      </c>
      <c r="G26" s="16" t="e">
        <f t="shared" si="2"/>
        <v>#DIV/0!</v>
      </c>
    </row>
    <row r="27" spans="1:8">
      <c r="A27" s="19"/>
      <c r="F27" s="7">
        <f t="shared" si="3"/>
        <v>0</v>
      </c>
      <c r="G27" s="16" t="e">
        <f t="shared" si="2"/>
        <v>#DIV/0!</v>
      </c>
    </row>
    <row r="28" spans="1:8">
      <c r="A28" s="19"/>
      <c r="F28" s="7">
        <f t="shared" si="3"/>
        <v>0</v>
      </c>
      <c r="G28" s="16" t="e">
        <f t="shared" si="2"/>
        <v>#DIV/0!</v>
      </c>
    </row>
    <row r="29" spans="1:8">
      <c r="A29" s="19"/>
      <c r="F29" s="7">
        <f t="shared" si="3"/>
        <v>0</v>
      </c>
      <c r="G29" s="16" t="e">
        <f t="shared" si="2"/>
        <v>#DIV/0!</v>
      </c>
    </row>
    <row r="30" spans="1:8">
      <c r="A30" s="19"/>
      <c r="F30" s="7">
        <f t="shared" si="3"/>
        <v>0</v>
      </c>
      <c r="G30" s="16" t="e">
        <f t="shared" si="2"/>
        <v>#DIV/0!</v>
      </c>
    </row>
    <row r="31" spans="1:8">
      <c r="A31" s="19"/>
    </row>
  </sheetData>
  <phoneticPr fontId="6" type="noConversion"/>
  <pageMargins left="0.75" right="0.75" top="1" bottom="1" header="0.5" footer="0.5"/>
  <pageSetup orientation="portrait" horizontalDpi="300" verticalDpi="300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Label 3">
              <controlPr defaultSize="0" autoFill="0" autoLine="0" autoPict="0" macro="[0]!打印" altText="">
                <anchor moveWithCells="1" sizeWithCells="1">
                  <from>
                    <xdr:col>11</xdr:col>
                    <xdr:colOff>144780</xdr:colOff>
                    <xdr:row>0</xdr:row>
                    <xdr:rowOff>0</xdr:rowOff>
                  </from>
                  <to>
                    <xdr:col>12</xdr:col>
                    <xdr:colOff>83820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Label 4">
              <controlPr defaultSize="0" autoFill="0" autoLine="0" autoPict="0" macro="[0]!选择打印机">
                <anchor moveWithCells="1" sizeWithCells="1">
                  <from>
                    <xdr:col>11</xdr:col>
                    <xdr:colOff>617220</xdr:colOff>
                    <xdr:row>0</xdr:row>
                    <xdr:rowOff>15240</xdr:rowOff>
                  </from>
                  <to>
                    <xdr:col>13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Label 5">
              <controlPr defaultSize="0" autoFill="0" autoLine="0" autoPict="0">
                <anchor moveWithCells="1" sizeWithCells="1">
                  <from>
                    <xdr:col>10</xdr:col>
                    <xdr:colOff>601980</xdr:colOff>
                    <xdr:row>1</xdr:row>
                    <xdr:rowOff>22860</xdr:rowOff>
                  </from>
                  <to>
                    <xdr:col>13</xdr:col>
                    <xdr:colOff>541020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46BBAB2-FA51-462A-871F-88E8B9E02DE0}">
            <xm:f>IF(VLOOKUP(INDEX(H:H,ROW(),1),节假日清单!E:F,2,FALSE)="节假日",1,0)</xm:f>
            <x14:dxf>
              <fill>
                <patternFill>
                  <bgColor rgb="FFFF8B8B"/>
                </patternFill>
              </fill>
            </x14:dxf>
          </x14:cfRule>
          <x14:cfRule type="expression" priority="2" id="{00000000-000E-0000-0000-000001000000}">
            <xm:f>IF(VLOOKUP(INDEX(H:H,ROW(),1),节假日清单!E:F,2,FALSE)="工作日",1,0)</xm:f>
            <x14:dxf>
              <fill>
                <patternFill>
                  <bgColor rgb="FFFFE79B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8"/>
  <sheetViews>
    <sheetView showWhiteSpace="0" zoomScaleNormal="100" zoomScaleSheetLayoutView="100" workbookViewId="0">
      <selection activeCell="B3" sqref="B3"/>
    </sheetView>
  </sheetViews>
  <sheetFormatPr defaultColWidth="10" defaultRowHeight="15.6"/>
  <cols>
    <col min="1" max="1" width="24.6640625" style="1" customWidth="1"/>
    <col min="2" max="2" width="46.44140625" style="1" customWidth="1"/>
    <col min="3" max="3" width="10" style="1"/>
    <col min="4" max="4" width="53.88671875" style="1" customWidth="1"/>
    <col min="5" max="256" width="10" style="1"/>
    <col min="257" max="257" width="30.109375" style="1" customWidth="1"/>
    <col min="258" max="258" width="57.77734375" style="1" customWidth="1"/>
    <col min="259" max="259" width="10" style="1"/>
    <col min="260" max="260" width="53.88671875" style="1" customWidth="1"/>
    <col min="261" max="512" width="10" style="1"/>
    <col min="513" max="513" width="30.109375" style="1" customWidth="1"/>
    <col min="514" max="514" width="57.77734375" style="1" customWidth="1"/>
    <col min="515" max="515" width="10" style="1"/>
    <col min="516" max="516" width="53.88671875" style="1" customWidth="1"/>
    <col min="517" max="768" width="10" style="1"/>
    <col min="769" max="769" width="30.109375" style="1" customWidth="1"/>
    <col min="770" max="770" width="57.77734375" style="1" customWidth="1"/>
    <col min="771" max="771" width="10" style="1"/>
    <col min="772" max="772" width="53.88671875" style="1" customWidth="1"/>
    <col min="773" max="1024" width="10" style="1"/>
    <col min="1025" max="1025" width="30.109375" style="1" customWidth="1"/>
    <col min="1026" max="1026" width="57.77734375" style="1" customWidth="1"/>
    <col min="1027" max="1027" width="10" style="1"/>
    <col min="1028" max="1028" width="53.88671875" style="1" customWidth="1"/>
    <col min="1029" max="1280" width="10" style="1"/>
    <col min="1281" max="1281" width="30.109375" style="1" customWidth="1"/>
    <col min="1282" max="1282" width="57.77734375" style="1" customWidth="1"/>
    <col min="1283" max="1283" width="10" style="1"/>
    <col min="1284" max="1284" width="53.88671875" style="1" customWidth="1"/>
    <col min="1285" max="1536" width="10" style="1"/>
    <col min="1537" max="1537" width="30.109375" style="1" customWidth="1"/>
    <col min="1538" max="1538" width="57.77734375" style="1" customWidth="1"/>
    <col min="1539" max="1539" width="10" style="1"/>
    <col min="1540" max="1540" width="53.88671875" style="1" customWidth="1"/>
    <col min="1541" max="1792" width="10" style="1"/>
    <col min="1793" max="1793" width="30.109375" style="1" customWidth="1"/>
    <col min="1794" max="1794" width="57.77734375" style="1" customWidth="1"/>
    <col min="1795" max="1795" width="10" style="1"/>
    <col min="1796" max="1796" width="53.88671875" style="1" customWidth="1"/>
    <col min="1797" max="2048" width="10" style="1"/>
    <col min="2049" max="2049" width="30.109375" style="1" customWidth="1"/>
    <col min="2050" max="2050" width="57.77734375" style="1" customWidth="1"/>
    <col min="2051" max="2051" width="10" style="1"/>
    <col min="2052" max="2052" width="53.88671875" style="1" customWidth="1"/>
    <col min="2053" max="2304" width="10" style="1"/>
    <col min="2305" max="2305" width="30.109375" style="1" customWidth="1"/>
    <col min="2306" max="2306" width="57.77734375" style="1" customWidth="1"/>
    <col min="2307" max="2307" width="10" style="1"/>
    <col min="2308" max="2308" width="53.88671875" style="1" customWidth="1"/>
    <col min="2309" max="2560" width="10" style="1"/>
    <col min="2561" max="2561" width="30.109375" style="1" customWidth="1"/>
    <col min="2562" max="2562" width="57.77734375" style="1" customWidth="1"/>
    <col min="2563" max="2563" width="10" style="1"/>
    <col min="2564" max="2564" width="53.88671875" style="1" customWidth="1"/>
    <col min="2565" max="2816" width="10" style="1"/>
    <col min="2817" max="2817" width="30.109375" style="1" customWidth="1"/>
    <col min="2818" max="2818" width="57.77734375" style="1" customWidth="1"/>
    <col min="2819" max="2819" width="10" style="1"/>
    <col min="2820" max="2820" width="53.88671875" style="1" customWidth="1"/>
    <col min="2821" max="3072" width="10" style="1"/>
    <col min="3073" max="3073" width="30.109375" style="1" customWidth="1"/>
    <col min="3074" max="3074" width="57.77734375" style="1" customWidth="1"/>
    <col min="3075" max="3075" width="10" style="1"/>
    <col min="3076" max="3076" width="53.88671875" style="1" customWidth="1"/>
    <col min="3077" max="3328" width="10" style="1"/>
    <col min="3329" max="3329" width="30.109375" style="1" customWidth="1"/>
    <col min="3330" max="3330" width="57.77734375" style="1" customWidth="1"/>
    <col min="3331" max="3331" width="10" style="1"/>
    <col min="3332" max="3332" width="53.88671875" style="1" customWidth="1"/>
    <col min="3333" max="3584" width="10" style="1"/>
    <col min="3585" max="3585" width="30.109375" style="1" customWidth="1"/>
    <col min="3586" max="3586" width="57.77734375" style="1" customWidth="1"/>
    <col min="3587" max="3587" width="10" style="1"/>
    <col min="3588" max="3588" width="53.88671875" style="1" customWidth="1"/>
    <col min="3589" max="3840" width="10" style="1"/>
    <col min="3841" max="3841" width="30.109375" style="1" customWidth="1"/>
    <col min="3842" max="3842" width="57.77734375" style="1" customWidth="1"/>
    <col min="3843" max="3843" width="10" style="1"/>
    <col min="3844" max="3844" width="53.88671875" style="1" customWidth="1"/>
    <col min="3845" max="4096" width="10" style="1"/>
    <col min="4097" max="4097" width="30.109375" style="1" customWidth="1"/>
    <col min="4098" max="4098" width="57.77734375" style="1" customWidth="1"/>
    <col min="4099" max="4099" width="10" style="1"/>
    <col min="4100" max="4100" width="53.88671875" style="1" customWidth="1"/>
    <col min="4101" max="4352" width="10" style="1"/>
    <col min="4353" max="4353" width="30.109375" style="1" customWidth="1"/>
    <col min="4354" max="4354" width="57.77734375" style="1" customWidth="1"/>
    <col min="4355" max="4355" width="10" style="1"/>
    <col min="4356" max="4356" width="53.88671875" style="1" customWidth="1"/>
    <col min="4357" max="4608" width="10" style="1"/>
    <col min="4609" max="4609" width="30.109375" style="1" customWidth="1"/>
    <col min="4610" max="4610" width="57.77734375" style="1" customWidth="1"/>
    <col min="4611" max="4611" width="10" style="1"/>
    <col min="4612" max="4612" width="53.88671875" style="1" customWidth="1"/>
    <col min="4613" max="4864" width="10" style="1"/>
    <col min="4865" max="4865" width="30.109375" style="1" customWidth="1"/>
    <col min="4866" max="4866" width="57.77734375" style="1" customWidth="1"/>
    <col min="4867" max="4867" width="10" style="1"/>
    <col min="4868" max="4868" width="53.88671875" style="1" customWidth="1"/>
    <col min="4869" max="5120" width="10" style="1"/>
    <col min="5121" max="5121" width="30.109375" style="1" customWidth="1"/>
    <col min="5122" max="5122" width="57.77734375" style="1" customWidth="1"/>
    <col min="5123" max="5123" width="10" style="1"/>
    <col min="5124" max="5124" width="53.88671875" style="1" customWidth="1"/>
    <col min="5125" max="5376" width="10" style="1"/>
    <col min="5377" max="5377" width="30.109375" style="1" customWidth="1"/>
    <col min="5378" max="5378" width="57.77734375" style="1" customWidth="1"/>
    <col min="5379" max="5379" width="10" style="1"/>
    <col min="5380" max="5380" width="53.88671875" style="1" customWidth="1"/>
    <col min="5381" max="5632" width="10" style="1"/>
    <col min="5633" max="5633" width="30.109375" style="1" customWidth="1"/>
    <col min="5634" max="5634" width="57.77734375" style="1" customWidth="1"/>
    <col min="5635" max="5635" width="10" style="1"/>
    <col min="5636" max="5636" width="53.88671875" style="1" customWidth="1"/>
    <col min="5637" max="5888" width="10" style="1"/>
    <col min="5889" max="5889" width="30.109375" style="1" customWidth="1"/>
    <col min="5890" max="5890" width="57.77734375" style="1" customWidth="1"/>
    <col min="5891" max="5891" width="10" style="1"/>
    <col min="5892" max="5892" width="53.88671875" style="1" customWidth="1"/>
    <col min="5893" max="6144" width="10" style="1"/>
    <col min="6145" max="6145" width="30.109375" style="1" customWidth="1"/>
    <col min="6146" max="6146" width="57.77734375" style="1" customWidth="1"/>
    <col min="6147" max="6147" width="10" style="1"/>
    <col min="6148" max="6148" width="53.88671875" style="1" customWidth="1"/>
    <col min="6149" max="6400" width="10" style="1"/>
    <col min="6401" max="6401" width="30.109375" style="1" customWidth="1"/>
    <col min="6402" max="6402" width="57.77734375" style="1" customWidth="1"/>
    <col min="6403" max="6403" width="10" style="1"/>
    <col min="6404" max="6404" width="53.88671875" style="1" customWidth="1"/>
    <col min="6405" max="6656" width="10" style="1"/>
    <col min="6657" max="6657" width="30.109375" style="1" customWidth="1"/>
    <col min="6658" max="6658" width="57.77734375" style="1" customWidth="1"/>
    <col min="6659" max="6659" width="10" style="1"/>
    <col min="6660" max="6660" width="53.88671875" style="1" customWidth="1"/>
    <col min="6661" max="6912" width="10" style="1"/>
    <col min="6913" max="6913" width="30.109375" style="1" customWidth="1"/>
    <col min="6914" max="6914" width="57.77734375" style="1" customWidth="1"/>
    <col min="6915" max="6915" width="10" style="1"/>
    <col min="6916" max="6916" width="53.88671875" style="1" customWidth="1"/>
    <col min="6917" max="7168" width="10" style="1"/>
    <col min="7169" max="7169" width="30.109375" style="1" customWidth="1"/>
    <col min="7170" max="7170" width="57.77734375" style="1" customWidth="1"/>
    <col min="7171" max="7171" width="10" style="1"/>
    <col min="7172" max="7172" width="53.88671875" style="1" customWidth="1"/>
    <col min="7173" max="7424" width="10" style="1"/>
    <col min="7425" max="7425" width="30.109375" style="1" customWidth="1"/>
    <col min="7426" max="7426" width="57.77734375" style="1" customWidth="1"/>
    <col min="7427" max="7427" width="10" style="1"/>
    <col min="7428" max="7428" width="53.88671875" style="1" customWidth="1"/>
    <col min="7429" max="7680" width="10" style="1"/>
    <col min="7681" max="7681" width="30.109375" style="1" customWidth="1"/>
    <col min="7682" max="7682" width="57.77734375" style="1" customWidth="1"/>
    <col min="7683" max="7683" width="10" style="1"/>
    <col min="7684" max="7684" width="53.88671875" style="1" customWidth="1"/>
    <col min="7685" max="7936" width="10" style="1"/>
    <col min="7937" max="7937" width="30.109375" style="1" customWidth="1"/>
    <col min="7938" max="7938" width="57.77734375" style="1" customWidth="1"/>
    <col min="7939" max="7939" width="10" style="1"/>
    <col min="7940" max="7940" width="53.88671875" style="1" customWidth="1"/>
    <col min="7941" max="8192" width="10" style="1"/>
    <col min="8193" max="8193" width="30.109375" style="1" customWidth="1"/>
    <col min="8194" max="8194" width="57.77734375" style="1" customWidth="1"/>
    <col min="8195" max="8195" width="10" style="1"/>
    <col min="8196" max="8196" width="53.88671875" style="1" customWidth="1"/>
    <col min="8197" max="8448" width="10" style="1"/>
    <col min="8449" max="8449" width="30.109375" style="1" customWidth="1"/>
    <col min="8450" max="8450" width="57.77734375" style="1" customWidth="1"/>
    <col min="8451" max="8451" width="10" style="1"/>
    <col min="8452" max="8452" width="53.88671875" style="1" customWidth="1"/>
    <col min="8453" max="8704" width="10" style="1"/>
    <col min="8705" max="8705" width="30.109375" style="1" customWidth="1"/>
    <col min="8706" max="8706" width="57.77734375" style="1" customWidth="1"/>
    <col min="8707" max="8707" width="10" style="1"/>
    <col min="8708" max="8708" width="53.88671875" style="1" customWidth="1"/>
    <col min="8709" max="8960" width="10" style="1"/>
    <col min="8961" max="8961" width="30.109375" style="1" customWidth="1"/>
    <col min="8962" max="8962" width="57.77734375" style="1" customWidth="1"/>
    <col min="8963" max="8963" width="10" style="1"/>
    <col min="8964" max="8964" width="53.88671875" style="1" customWidth="1"/>
    <col min="8965" max="9216" width="10" style="1"/>
    <col min="9217" max="9217" width="30.109375" style="1" customWidth="1"/>
    <col min="9218" max="9218" width="57.77734375" style="1" customWidth="1"/>
    <col min="9219" max="9219" width="10" style="1"/>
    <col min="9220" max="9220" width="53.88671875" style="1" customWidth="1"/>
    <col min="9221" max="9472" width="10" style="1"/>
    <col min="9473" max="9473" width="30.109375" style="1" customWidth="1"/>
    <col min="9474" max="9474" width="57.77734375" style="1" customWidth="1"/>
    <col min="9475" max="9475" width="10" style="1"/>
    <col min="9476" max="9476" width="53.88671875" style="1" customWidth="1"/>
    <col min="9477" max="9728" width="10" style="1"/>
    <col min="9729" max="9729" width="30.109375" style="1" customWidth="1"/>
    <col min="9730" max="9730" width="57.77734375" style="1" customWidth="1"/>
    <col min="9731" max="9731" width="10" style="1"/>
    <col min="9732" max="9732" width="53.88671875" style="1" customWidth="1"/>
    <col min="9733" max="9984" width="10" style="1"/>
    <col min="9985" max="9985" width="30.109375" style="1" customWidth="1"/>
    <col min="9986" max="9986" width="57.77734375" style="1" customWidth="1"/>
    <col min="9987" max="9987" width="10" style="1"/>
    <col min="9988" max="9988" width="53.88671875" style="1" customWidth="1"/>
    <col min="9989" max="10240" width="10" style="1"/>
    <col min="10241" max="10241" width="30.109375" style="1" customWidth="1"/>
    <col min="10242" max="10242" width="57.77734375" style="1" customWidth="1"/>
    <col min="10243" max="10243" width="10" style="1"/>
    <col min="10244" max="10244" width="53.88671875" style="1" customWidth="1"/>
    <col min="10245" max="10496" width="10" style="1"/>
    <col min="10497" max="10497" width="30.109375" style="1" customWidth="1"/>
    <col min="10498" max="10498" width="57.77734375" style="1" customWidth="1"/>
    <col min="10499" max="10499" width="10" style="1"/>
    <col min="10500" max="10500" width="53.88671875" style="1" customWidth="1"/>
    <col min="10501" max="10752" width="10" style="1"/>
    <col min="10753" max="10753" width="30.109375" style="1" customWidth="1"/>
    <col min="10754" max="10754" width="57.77734375" style="1" customWidth="1"/>
    <col min="10755" max="10755" width="10" style="1"/>
    <col min="10756" max="10756" width="53.88671875" style="1" customWidth="1"/>
    <col min="10757" max="11008" width="10" style="1"/>
    <col min="11009" max="11009" width="30.109375" style="1" customWidth="1"/>
    <col min="11010" max="11010" width="57.77734375" style="1" customWidth="1"/>
    <col min="11011" max="11011" width="10" style="1"/>
    <col min="11012" max="11012" width="53.88671875" style="1" customWidth="1"/>
    <col min="11013" max="11264" width="10" style="1"/>
    <col min="11265" max="11265" width="30.109375" style="1" customWidth="1"/>
    <col min="11266" max="11266" width="57.77734375" style="1" customWidth="1"/>
    <col min="11267" max="11267" width="10" style="1"/>
    <col min="11268" max="11268" width="53.88671875" style="1" customWidth="1"/>
    <col min="11269" max="11520" width="10" style="1"/>
    <col min="11521" max="11521" width="30.109375" style="1" customWidth="1"/>
    <col min="11522" max="11522" width="57.77734375" style="1" customWidth="1"/>
    <col min="11523" max="11523" width="10" style="1"/>
    <col min="11524" max="11524" width="53.88671875" style="1" customWidth="1"/>
    <col min="11525" max="11776" width="10" style="1"/>
    <col min="11777" max="11777" width="30.109375" style="1" customWidth="1"/>
    <col min="11778" max="11778" width="57.77734375" style="1" customWidth="1"/>
    <col min="11779" max="11779" width="10" style="1"/>
    <col min="11780" max="11780" width="53.88671875" style="1" customWidth="1"/>
    <col min="11781" max="12032" width="10" style="1"/>
    <col min="12033" max="12033" width="30.109375" style="1" customWidth="1"/>
    <col min="12034" max="12034" width="57.77734375" style="1" customWidth="1"/>
    <col min="12035" max="12035" width="10" style="1"/>
    <col min="12036" max="12036" width="53.88671875" style="1" customWidth="1"/>
    <col min="12037" max="12288" width="10" style="1"/>
    <col min="12289" max="12289" width="30.109375" style="1" customWidth="1"/>
    <col min="12290" max="12290" width="57.77734375" style="1" customWidth="1"/>
    <col min="12291" max="12291" width="10" style="1"/>
    <col min="12292" max="12292" width="53.88671875" style="1" customWidth="1"/>
    <col min="12293" max="12544" width="10" style="1"/>
    <col min="12545" max="12545" width="30.109375" style="1" customWidth="1"/>
    <col min="12546" max="12546" width="57.77734375" style="1" customWidth="1"/>
    <col min="12547" max="12547" width="10" style="1"/>
    <col min="12548" max="12548" width="53.88671875" style="1" customWidth="1"/>
    <col min="12549" max="12800" width="10" style="1"/>
    <col min="12801" max="12801" width="30.109375" style="1" customWidth="1"/>
    <col min="12802" max="12802" width="57.77734375" style="1" customWidth="1"/>
    <col min="12803" max="12803" width="10" style="1"/>
    <col min="12804" max="12804" width="53.88671875" style="1" customWidth="1"/>
    <col min="12805" max="13056" width="10" style="1"/>
    <col min="13057" max="13057" width="30.109375" style="1" customWidth="1"/>
    <col min="13058" max="13058" width="57.77734375" style="1" customWidth="1"/>
    <col min="13059" max="13059" width="10" style="1"/>
    <col min="13060" max="13060" width="53.88671875" style="1" customWidth="1"/>
    <col min="13061" max="13312" width="10" style="1"/>
    <col min="13313" max="13313" width="30.109375" style="1" customWidth="1"/>
    <col min="13314" max="13314" width="57.77734375" style="1" customWidth="1"/>
    <col min="13315" max="13315" width="10" style="1"/>
    <col min="13316" max="13316" width="53.88671875" style="1" customWidth="1"/>
    <col min="13317" max="13568" width="10" style="1"/>
    <col min="13569" max="13569" width="30.109375" style="1" customWidth="1"/>
    <col min="13570" max="13570" width="57.77734375" style="1" customWidth="1"/>
    <col min="13571" max="13571" width="10" style="1"/>
    <col min="13572" max="13572" width="53.88671875" style="1" customWidth="1"/>
    <col min="13573" max="13824" width="10" style="1"/>
    <col min="13825" max="13825" width="30.109375" style="1" customWidth="1"/>
    <col min="13826" max="13826" width="57.77734375" style="1" customWidth="1"/>
    <col min="13827" max="13827" width="10" style="1"/>
    <col min="13828" max="13828" width="53.88671875" style="1" customWidth="1"/>
    <col min="13829" max="14080" width="10" style="1"/>
    <col min="14081" max="14081" width="30.109375" style="1" customWidth="1"/>
    <col min="14082" max="14082" width="57.77734375" style="1" customWidth="1"/>
    <col min="14083" max="14083" width="10" style="1"/>
    <col min="14084" max="14084" width="53.88671875" style="1" customWidth="1"/>
    <col min="14085" max="14336" width="10" style="1"/>
    <col min="14337" max="14337" width="30.109375" style="1" customWidth="1"/>
    <col min="14338" max="14338" width="57.77734375" style="1" customWidth="1"/>
    <col min="14339" max="14339" width="10" style="1"/>
    <col min="14340" max="14340" width="53.88671875" style="1" customWidth="1"/>
    <col min="14341" max="14592" width="10" style="1"/>
    <col min="14593" max="14593" width="30.109375" style="1" customWidth="1"/>
    <col min="14594" max="14594" width="57.77734375" style="1" customWidth="1"/>
    <col min="14595" max="14595" width="10" style="1"/>
    <col min="14596" max="14596" width="53.88671875" style="1" customWidth="1"/>
    <col min="14597" max="14848" width="10" style="1"/>
    <col min="14849" max="14849" width="30.109375" style="1" customWidth="1"/>
    <col min="14850" max="14850" width="57.77734375" style="1" customWidth="1"/>
    <col min="14851" max="14851" width="10" style="1"/>
    <col min="14852" max="14852" width="53.88671875" style="1" customWidth="1"/>
    <col min="14853" max="15104" width="10" style="1"/>
    <col min="15105" max="15105" width="30.109375" style="1" customWidth="1"/>
    <col min="15106" max="15106" width="57.77734375" style="1" customWidth="1"/>
    <col min="15107" max="15107" width="10" style="1"/>
    <col min="15108" max="15108" width="53.88671875" style="1" customWidth="1"/>
    <col min="15109" max="15360" width="10" style="1"/>
    <col min="15361" max="15361" width="30.109375" style="1" customWidth="1"/>
    <col min="15362" max="15362" width="57.77734375" style="1" customWidth="1"/>
    <col min="15363" max="15363" width="10" style="1"/>
    <col min="15364" max="15364" width="53.88671875" style="1" customWidth="1"/>
    <col min="15365" max="15616" width="10" style="1"/>
    <col min="15617" max="15617" width="30.109375" style="1" customWidth="1"/>
    <col min="15618" max="15618" width="57.77734375" style="1" customWidth="1"/>
    <col min="15619" max="15619" width="10" style="1"/>
    <col min="15620" max="15620" width="53.88671875" style="1" customWidth="1"/>
    <col min="15621" max="15872" width="10" style="1"/>
    <col min="15873" max="15873" width="30.109375" style="1" customWidth="1"/>
    <col min="15874" max="15874" width="57.77734375" style="1" customWidth="1"/>
    <col min="15875" max="15875" width="10" style="1"/>
    <col min="15876" max="15876" width="53.88671875" style="1" customWidth="1"/>
    <col min="15877" max="16128" width="10" style="1"/>
    <col min="16129" max="16129" width="30.109375" style="1" customWidth="1"/>
    <col min="16130" max="16130" width="57.77734375" style="1" customWidth="1"/>
    <col min="16131" max="16131" width="10" style="1"/>
    <col min="16132" max="16132" width="53.88671875" style="1" customWidth="1"/>
    <col min="16133" max="16384" width="10" style="1"/>
  </cols>
  <sheetData>
    <row r="2" spans="1:4" ht="43.95" customHeight="1">
      <c r="A2" s="29" t="s">
        <v>9</v>
      </c>
      <c r="B2" s="30"/>
    </row>
    <row r="3" spans="1:4" ht="24" customHeight="1">
      <c r="A3" s="2"/>
      <c r="B3" s="12" t="e">
        <f>IF(VLOOKUP(B4-1,节假日清单!E:F,2,FALSE)="工作日",B4-1,IF(VLOOKUP(B4-2,节假日清单!E:F,2,FALSE)="工作日",B4-2,IF(VLOOKUP(B4-3,节假日清单!E:F,2,FALSE)="工作日",B4-3,IF(VLOOKUP(B4-4,节假日清单!E:F,2,FALSE)="工作日",B4-4,IF(VLOOKUP(B4-5,节假日清单!E:F,2,FALSE)="工作日",B4-5,IF(VLOOKUP(B4-6,节假日清单!E:F,2,FALSE)="工作日",B4-6,IF(VLOOKUP(B4-7,节假日清单!E:F,2,FALSE)="工作日",B4-7,IF(VLOOKUP(B4-8,节假日清单!E:F,2,FALSE)="工作日",B4-8,IF(VLOOKUP(B4-9,节假日清单!E:F,2,FALSE)="工作日",B4-9,IF(VLOOKUP(B4-10,节假日清单!E:F,2,FALSE)="工作日",B4-10,"FALSE!!"))))))))))</f>
        <v>#N/A</v>
      </c>
      <c r="D3" s="11"/>
    </row>
    <row r="4" spans="1:4" ht="24" customHeight="1">
      <c r="A4" s="3" t="s">
        <v>10</v>
      </c>
      <c r="B4" s="10"/>
      <c r="C4" s="11"/>
    </row>
    <row r="5" spans="1:4" ht="31.95" customHeight="1">
      <c r="A5" s="3" t="s">
        <v>11</v>
      </c>
      <c r="B5" s="14"/>
    </row>
    <row r="6" spans="1:4" ht="31.95" customHeight="1">
      <c r="A6" s="3" t="s">
        <v>12</v>
      </c>
      <c r="B6" s="14" t="str">
        <f ca="1">数据库!A19</f>
        <v>开户渠道王女士等.</v>
      </c>
    </row>
    <row r="7" spans="1:4" s="6" customFormat="1" ht="31.95" customHeight="1">
      <c r="A7" s="4" t="s">
        <v>13</v>
      </c>
      <c r="B7" s="5" t="s">
        <v>14</v>
      </c>
      <c r="D7" s="1"/>
    </row>
    <row r="8" spans="1:4" ht="81" customHeight="1"/>
  </sheetData>
  <mergeCells count="1">
    <mergeCell ref="A2:B2"/>
  </mergeCells>
  <phoneticPr fontId="8" type="noConversion"/>
  <printOptions horizontalCentered="1"/>
  <pageMargins left="0.75" right="0.75" top="0.61" bottom="1" header="0.51" footer="0.51"/>
  <pageSetup paperSize="9" orientation="portrait" verticalDpi="1200" r:id="rId1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9"/>
  <sheetViews>
    <sheetView workbookViewId="0">
      <selection activeCell="B26" sqref="B26"/>
    </sheetView>
  </sheetViews>
  <sheetFormatPr defaultRowHeight="14.4"/>
  <cols>
    <col min="1" max="1" width="12.44140625" customWidth="1"/>
  </cols>
  <sheetData>
    <row r="1" spans="1:3">
      <c r="A1" t="s">
        <v>15</v>
      </c>
      <c r="B1" t="s">
        <v>16</v>
      </c>
      <c r="C1" t="s">
        <v>17</v>
      </c>
    </row>
    <row r="2" spans="1:3">
      <c r="A2" t="s">
        <v>20</v>
      </c>
      <c r="B2" t="s">
        <v>21</v>
      </c>
      <c r="C2" t="s">
        <v>18</v>
      </c>
    </row>
    <row r="3" spans="1:3">
      <c r="A3" t="s">
        <v>34</v>
      </c>
      <c r="B3" t="s">
        <v>22</v>
      </c>
      <c r="C3" t="s">
        <v>19</v>
      </c>
    </row>
    <row r="4" spans="1:3">
      <c r="B4" t="s">
        <v>23</v>
      </c>
    </row>
    <row r="5" spans="1:3">
      <c r="B5" t="s">
        <v>24</v>
      </c>
    </row>
    <row r="6" spans="1:3">
      <c r="B6" t="s">
        <v>25</v>
      </c>
    </row>
    <row r="7" spans="1:3">
      <c r="B7" t="s">
        <v>26</v>
      </c>
    </row>
    <row r="8" spans="1:3">
      <c r="B8" t="s">
        <v>27</v>
      </c>
    </row>
    <row r="9" spans="1:3">
      <c r="B9" t="s">
        <v>28</v>
      </c>
    </row>
    <row r="10" spans="1:3">
      <c r="B10" t="s">
        <v>29</v>
      </c>
    </row>
    <row r="11" spans="1:3">
      <c r="B11" t="s">
        <v>30</v>
      </c>
    </row>
    <row r="12" spans="1:3">
      <c r="B12" t="s">
        <v>31</v>
      </c>
    </row>
    <row r="13" spans="1:3">
      <c r="B13" t="s">
        <v>32</v>
      </c>
    </row>
    <row r="14" spans="1:3">
      <c r="B14" t="s">
        <v>33</v>
      </c>
    </row>
    <row r="17" spans="1:2">
      <c r="A17" t="str">
        <f ca="1">OFFSET(A1,RANDBETWEEN(1,COUNTA(A2:A3)),)</f>
        <v>开户渠道</v>
      </c>
      <c r="B17" t="str">
        <f ca="1">OFFSET($B$1,RANDBETWEEN(1,COUNTA($B$2:$B$14)),)&amp;OFFSET($C$1,RANDBETWEEN(1,COUNTA($C$2:$C$3)),)</f>
        <v>王女士</v>
      </c>
    </row>
    <row r="19" spans="1:2">
      <c r="A19" t="str">
        <f ca="1">A17&amp;B17&amp;"等."</f>
        <v>开户渠道王女士等.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5"/>
  <sheetViews>
    <sheetView workbookViewId="0">
      <selection activeCell="D15" sqref="D15"/>
    </sheetView>
  </sheetViews>
  <sheetFormatPr defaultRowHeight="14.4"/>
  <cols>
    <col min="3" max="3" width="16.109375" style="13" customWidth="1"/>
  </cols>
  <sheetData>
    <row r="1" spans="1:4">
      <c r="A1" t="s">
        <v>38</v>
      </c>
      <c r="B1" t="s">
        <v>36</v>
      </c>
      <c r="C1" s="13" t="s">
        <v>35</v>
      </c>
      <c r="D1" t="s">
        <v>37</v>
      </c>
    </row>
    <row r="2" spans="1:4">
      <c r="A2">
        <v>150</v>
      </c>
      <c r="B2">
        <v>440</v>
      </c>
      <c r="C2" s="13">
        <f>ROUNDUP(B2/A2,0)</f>
        <v>3</v>
      </c>
      <c r="D2">
        <f>B2/C2</f>
        <v>146.66666666666666</v>
      </c>
    </row>
    <row r="15" spans="1:4">
      <c r="D15" t="s">
        <v>55</v>
      </c>
    </row>
  </sheetData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E45C1-8D7A-4540-9B9F-4DD678B19B5E}">
  <sheetPr codeName="Sheet5"/>
  <dimension ref="A1:R732"/>
  <sheetViews>
    <sheetView zoomScaleNormal="100" workbookViewId="0">
      <selection activeCell="H15" sqref="H15"/>
    </sheetView>
  </sheetViews>
  <sheetFormatPr defaultRowHeight="14.4"/>
  <cols>
    <col min="1" max="1" width="7" style="23" bestFit="1" customWidth="1"/>
    <col min="2" max="2" width="14.109375" style="21" bestFit="1" customWidth="1"/>
    <col min="3" max="3" width="15.109375" style="21" bestFit="1" customWidth="1"/>
    <col min="4" max="4" width="8.88671875" style="22"/>
    <col min="5" max="5" width="15.109375" style="21" bestFit="1" customWidth="1"/>
    <col min="6" max="6" width="10.44140625" style="20" customWidth="1"/>
  </cols>
  <sheetData>
    <row r="1" spans="1:18">
      <c r="A1" s="25"/>
      <c r="B1" s="28" t="s">
        <v>98</v>
      </c>
      <c r="C1" s="28" t="s">
        <v>97</v>
      </c>
      <c r="E1" s="27" t="s">
        <v>96</v>
      </c>
      <c r="F1" s="26" t="s">
        <v>95</v>
      </c>
    </row>
    <row r="2" spans="1:18" ht="14.4" customHeight="1">
      <c r="A2" s="25" t="s">
        <v>88</v>
      </c>
      <c r="B2" s="24">
        <v>43831</v>
      </c>
      <c r="C2" s="24"/>
      <c r="E2" s="21">
        <v>43831</v>
      </c>
      <c r="F2" s="20" t="str">
        <f>IF(COUNTIF(B:B,E2)&gt;=1,"节假日",IF(WEEKDAY(E2,2)&gt;=6,IF(COUNTIF(C:C,E2)=0,"休息日","工作日"),"工作日"))</f>
        <v>节假日</v>
      </c>
      <c r="I2" s="32" t="s">
        <v>94</v>
      </c>
      <c r="J2" s="32"/>
      <c r="K2" s="32"/>
      <c r="L2" s="32"/>
      <c r="M2" s="32"/>
      <c r="N2" s="32"/>
      <c r="O2" s="32"/>
      <c r="P2" s="32"/>
      <c r="Q2" s="32"/>
      <c r="R2" s="32"/>
    </row>
    <row r="3" spans="1:18">
      <c r="A3" s="31" t="s">
        <v>87</v>
      </c>
      <c r="B3" s="24">
        <v>43854</v>
      </c>
      <c r="C3" s="24">
        <v>43849</v>
      </c>
      <c r="E3" s="21">
        <v>43832</v>
      </c>
      <c r="F3" s="20" t="str">
        <f t="shared" ref="F3:F66" si="0">IF(COUNTIF(B:B,E3)&gt;=1,"节假日",IF(WEEKDAY(E3,2)&gt;=6,IF(COUNTIF(C:C,E3)=0,"休息日","工作日"),"工作日"))</f>
        <v>工作日</v>
      </c>
      <c r="I3" s="32"/>
      <c r="J3" s="32"/>
      <c r="K3" s="32"/>
      <c r="L3" s="32"/>
      <c r="M3" s="32"/>
      <c r="N3" s="32"/>
      <c r="O3" s="32"/>
      <c r="P3" s="32"/>
      <c r="Q3" s="32"/>
      <c r="R3" s="32"/>
    </row>
    <row r="4" spans="1:18">
      <c r="A4" s="31"/>
      <c r="B4" s="24">
        <v>43855</v>
      </c>
      <c r="C4" s="24">
        <v>43862</v>
      </c>
      <c r="E4" s="21">
        <v>43833</v>
      </c>
      <c r="F4" s="20" t="str">
        <f t="shared" si="0"/>
        <v>工作日</v>
      </c>
      <c r="I4" s="32"/>
      <c r="J4" s="32"/>
      <c r="K4" s="32"/>
      <c r="L4" s="32"/>
      <c r="M4" s="32"/>
      <c r="N4" s="32"/>
      <c r="O4" s="32"/>
      <c r="P4" s="32"/>
      <c r="Q4" s="32"/>
      <c r="R4" s="32"/>
    </row>
    <row r="5" spans="1:18">
      <c r="A5" s="31"/>
      <c r="B5" s="24">
        <v>43856</v>
      </c>
      <c r="C5" s="24"/>
      <c r="E5" s="21">
        <v>43834</v>
      </c>
      <c r="F5" s="20" t="str">
        <f t="shared" si="0"/>
        <v>休息日</v>
      </c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1:18" ht="14.4" customHeight="1">
      <c r="A6" s="31"/>
      <c r="B6" s="24">
        <v>43857</v>
      </c>
      <c r="C6" s="24"/>
      <c r="E6" s="21">
        <v>43835</v>
      </c>
      <c r="F6" s="20" t="str">
        <f t="shared" si="0"/>
        <v>休息日</v>
      </c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18">
      <c r="A7" s="31"/>
      <c r="B7" s="24">
        <v>43858</v>
      </c>
      <c r="C7" s="24"/>
      <c r="E7" s="21">
        <v>43836</v>
      </c>
      <c r="F7" s="20" t="str">
        <f t="shared" si="0"/>
        <v>工作日</v>
      </c>
      <c r="I7" s="32"/>
      <c r="J7" s="32"/>
      <c r="K7" s="32"/>
      <c r="L7" s="32"/>
      <c r="M7" s="32"/>
      <c r="N7" s="32"/>
      <c r="O7" s="32"/>
      <c r="P7" s="32"/>
      <c r="Q7" s="32"/>
      <c r="R7" s="32"/>
    </row>
    <row r="8" spans="1:18">
      <c r="A8" s="31"/>
      <c r="B8" s="24">
        <v>43859</v>
      </c>
      <c r="C8" s="24"/>
      <c r="E8" s="21">
        <v>43837</v>
      </c>
      <c r="F8" s="20" t="str">
        <f t="shared" si="0"/>
        <v>工作日</v>
      </c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1:18">
      <c r="A9" s="31"/>
      <c r="B9" s="24">
        <v>43860</v>
      </c>
      <c r="C9" s="24"/>
      <c r="E9" s="21">
        <v>43838</v>
      </c>
      <c r="F9" s="20" t="str">
        <f t="shared" si="0"/>
        <v>工作日</v>
      </c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18">
      <c r="A10" s="31" t="s">
        <v>93</v>
      </c>
      <c r="B10" s="24">
        <v>43925</v>
      </c>
      <c r="C10" s="24"/>
      <c r="E10" s="21">
        <v>43839</v>
      </c>
      <c r="F10" s="20" t="str">
        <f t="shared" si="0"/>
        <v>工作日</v>
      </c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>
      <c r="A11" s="31"/>
      <c r="B11" s="24">
        <v>43926</v>
      </c>
      <c r="C11" s="24"/>
      <c r="E11" s="21">
        <v>43840</v>
      </c>
      <c r="F11" s="20" t="str">
        <f t="shared" si="0"/>
        <v>工作日</v>
      </c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1:18">
      <c r="A12" s="31"/>
      <c r="B12" s="24">
        <v>43927</v>
      </c>
      <c r="C12" s="24"/>
      <c r="E12" s="21">
        <v>43841</v>
      </c>
      <c r="F12" s="20" t="str">
        <f t="shared" si="0"/>
        <v>休息日</v>
      </c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3" spans="1:18">
      <c r="A13" s="31" t="s">
        <v>92</v>
      </c>
      <c r="B13" s="24">
        <v>43952</v>
      </c>
      <c r="C13" s="24">
        <v>43947</v>
      </c>
      <c r="E13" s="21">
        <v>43842</v>
      </c>
      <c r="F13" s="20" t="str">
        <f t="shared" si="0"/>
        <v>休息日</v>
      </c>
      <c r="I13" s="32"/>
      <c r="J13" s="32"/>
      <c r="K13" s="32"/>
      <c r="L13" s="32"/>
      <c r="M13" s="32"/>
      <c r="N13" s="32"/>
      <c r="O13" s="32"/>
      <c r="P13" s="32"/>
      <c r="Q13" s="32"/>
      <c r="R13" s="32"/>
    </row>
    <row r="14" spans="1:18">
      <c r="A14" s="31"/>
      <c r="B14" s="24">
        <v>43953</v>
      </c>
      <c r="C14" s="24">
        <v>43960</v>
      </c>
      <c r="E14" s="21">
        <v>43843</v>
      </c>
      <c r="F14" s="20" t="str">
        <f t="shared" si="0"/>
        <v>工作日</v>
      </c>
      <c r="I14" s="32"/>
      <c r="J14" s="32"/>
      <c r="K14" s="32"/>
      <c r="L14" s="32"/>
      <c r="M14" s="32"/>
      <c r="N14" s="32"/>
      <c r="O14" s="32"/>
      <c r="P14" s="32"/>
      <c r="Q14" s="32"/>
      <c r="R14" s="32"/>
    </row>
    <row r="15" spans="1:18">
      <c r="A15" s="31"/>
      <c r="B15" s="24">
        <v>43954</v>
      </c>
      <c r="C15" s="24"/>
      <c r="E15" s="21">
        <v>43844</v>
      </c>
      <c r="F15" s="20" t="str">
        <f t="shared" si="0"/>
        <v>工作日</v>
      </c>
      <c r="I15" s="32"/>
      <c r="J15" s="32"/>
      <c r="K15" s="32"/>
      <c r="L15" s="32"/>
      <c r="M15" s="32"/>
      <c r="N15" s="32"/>
      <c r="O15" s="32"/>
      <c r="P15" s="32"/>
      <c r="Q15" s="32"/>
      <c r="R15" s="32"/>
    </row>
    <row r="16" spans="1:18">
      <c r="A16" s="31"/>
      <c r="B16" s="24">
        <v>43955</v>
      </c>
      <c r="C16" s="24"/>
      <c r="E16" s="21">
        <v>43845</v>
      </c>
      <c r="F16" s="20" t="str">
        <f t="shared" si="0"/>
        <v>工作日</v>
      </c>
      <c r="I16" s="32"/>
      <c r="J16" s="32"/>
      <c r="K16" s="32"/>
      <c r="L16" s="32"/>
      <c r="M16" s="32"/>
      <c r="N16" s="32"/>
      <c r="O16" s="32"/>
      <c r="P16" s="32"/>
      <c r="Q16" s="32"/>
      <c r="R16" s="32"/>
    </row>
    <row r="17" spans="1:18">
      <c r="A17" s="31"/>
      <c r="B17" s="24">
        <v>43956</v>
      </c>
      <c r="C17" s="24"/>
      <c r="E17" s="21">
        <v>43846</v>
      </c>
      <c r="F17" s="20" t="str">
        <f t="shared" si="0"/>
        <v>工作日</v>
      </c>
      <c r="I17" s="32"/>
      <c r="J17" s="32"/>
      <c r="K17" s="32"/>
      <c r="L17" s="32"/>
      <c r="M17" s="32"/>
      <c r="N17" s="32"/>
      <c r="O17" s="32"/>
      <c r="P17" s="32"/>
      <c r="Q17" s="32"/>
      <c r="R17" s="32"/>
    </row>
    <row r="18" spans="1:18">
      <c r="A18" s="31" t="s">
        <v>91</v>
      </c>
      <c r="B18" s="24">
        <v>44007</v>
      </c>
      <c r="C18" s="24">
        <v>44010</v>
      </c>
      <c r="E18" s="21">
        <v>43847</v>
      </c>
      <c r="F18" s="20" t="str">
        <f t="shared" si="0"/>
        <v>工作日</v>
      </c>
      <c r="I18" s="32"/>
      <c r="J18" s="32"/>
      <c r="K18" s="32"/>
      <c r="L18" s="32"/>
      <c r="M18" s="32"/>
      <c r="N18" s="32"/>
      <c r="O18" s="32"/>
      <c r="P18" s="32"/>
      <c r="Q18" s="32"/>
      <c r="R18" s="32"/>
    </row>
    <row r="19" spans="1:18">
      <c r="A19" s="31"/>
      <c r="B19" s="24">
        <v>44008</v>
      </c>
      <c r="C19" s="24"/>
      <c r="E19" s="21">
        <v>43848</v>
      </c>
      <c r="F19" s="20" t="str">
        <f t="shared" si="0"/>
        <v>休息日</v>
      </c>
      <c r="I19" s="32"/>
      <c r="J19" s="32"/>
      <c r="K19" s="32"/>
      <c r="L19" s="32"/>
      <c r="M19" s="32"/>
      <c r="N19" s="32"/>
      <c r="O19" s="32"/>
      <c r="P19" s="32"/>
      <c r="Q19" s="32"/>
      <c r="R19" s="32"/>
    </row>
    <row r="20" spans="1:18">
      <c r="A20" s="31"/>
      <c r="B20" s="24">
        <v>44009</v>
      </c>
      <c r="C20" s="24"/>
      <c r="E20" s="21">
        <v>43849</v>
      </c>
      <c r="F20" s="20" t="str">
        <f t="shared" si="0"/>
        <v>工作日</v>
      </c>
      <c r="I20" s="32"/>
      <c r="J20" s="32"/>
      <c r="K20" s="32"/>
      <c r="L20" s="32"/>
      <c r="M20" s="32"/>
      <c r="N20" s="32"/>
      <c r="O20" s="32"/>
      <c r="P20" s="32"/>
      <c r="Q20" s="32"/>
      <c r="R20" s="32"/>
    </row>
    <row r="21" spans="1:18">
      <c r="A21" s="31" t="s">
        <v>90</v>
      </c>
      <c r="B21" s="24">
        <v>44105</v>
      </c>
      <c r="C21" s="24">
        <v>44101</v>
      </c>
      <c r="E21" s="21">
        <v>43850</v>
      </c>
      <c r="F21" s="20" t="str">
        <f t="shared" si="0"/>
        <v>工作日</v>
      </c>
      <c r="I21" s="32"/>
      <c r="J21" s="32"/>
      <c r="K21" s="32"/>
      <c r="L21" s="32"/>
      <c r="M21" s="32"/>
      <c r="N21" s="32"/>
      <c r="O21" s="32"/>
      <c r="P21" s="32"/>
      <c r="Q21" s="32"/>
      <c r="R21" s="32"/>
    </row>
    <row r="22" spans="1:18">
      <c r="A22" s="31"/>
      <c r="B22" s="24">
        <v>44106</v>
      </c>
      <c r="C22" s="24">
        <v>44114</v>
      </c>
      <c r="E22" s="21">
        <v>43851</v>
      </c>
      <c r="F22" s="20" t="str">
        <f t="shared" si="0"/>
        <v>工作日</v>
      </c>
      <c r="I22" s="32"/>
      <c r="J22" s="32"/>
      <c r="K22" s="32"/>
      <c r="L22" s="32"/>
      <c r="M22" s="32"/>
      <c r="N22" s="32"/>
      <c r="O22" s="32"/>
      <c r="P22" s="32"/>
      <c r="Q22" s="32"/>
      <c r="R22" s="32"/>
    </row>
    <row r="23" spans="1:18">
      <c r="A23" s="31" t="s">
        <v>89</v>
      </c>
      <c r="B23" s="24">
        <v>44107</v>
      </c>
      <c r="C23" s="24"/>
      <c r="E23" s="21">
        <v>43852</v>
      </c>
      <c r="F23" s="20" t="str">
        <f t="shared" si="0"/>
        <v>工作日</v>
      </c>
      <c r="I23" s="32"/>
      <c r="J23" s="32"/>
      <c r="K23" s="32"/>
      <c r="L23" s="32"/>
      <c r="M23" s="32"/>
      <c r="N23" s="32"/>
      <c r="O23" s="32"/>
      <c r="P23" s="32"/>
      <c r="Q23" s="32"/>
      <c r="R23" s="32"/>
    </row>
    <row r="24" spans="1:18">
      <c r="A24" s="31"/>
      <c r="B24" s="24">
        <v>44108</v>
      </c>
      <c r="C24" s="24"/>
      <c r="E24" s="21">
        <v>43853</v>
      </c>
      <c r="F24" s="20" t="str">
        <f t="shared" si="0"/>
        <v>工作日</v>
      </c>
    </row>
    <row r="25" spans="1:18">
      <c r="A25" s="31"/>
      <c r="B25" s="24">
        <v>44109</v>
      </c>
      <c r="C25" s="24"/>
      <c r="E25" s="21">
        <v>43854</v>
      </c>
      <c r="F25" s="20" t="str">
        <f t="shared" si="0"/>
        <v>节假日</v>
      </c>
    </row>
    <row r="26" spans="1:18">
      <c r="A26" s="31"/>
      <c r="B26" s="24">
        <v>44110</v>
      </c>
      <c r="C26" s="24"/>
      <c r="E26" s="21">
        <v>43855</v>
      </c>
      <c r="F26" s="20" t="str">
        <f t="shared" si="0"/>
        <v>节假日</v>
      </c>
    </row>
    <row r="27" spans="1:18">
      <c r="A27" s="31"/>
      <c r="B27" s="24">
        <v>44111</v>
      </c>
      <c r="C27" s="24"/>
      <c r="E27" s="21">
        <v>43856</v>
      </c>
      <c r="F27" s="20" t="str">
        <f t="shared" si="0"/>
        <v>节假日</v>
      </c>
    </row>
    <row r="28" spans="1:18">
      <c r="A28" s="31"/>
      <c r="B28" s="24">
        <v>44112</v>
      </c>
      <c r="C28" s="24"/>
      <c r="E28" s="21">
        <v>43857</v>
      </c>
      <c r="F28" s="20" t="str">
        <f t="shared" si="0"/>
        <v>节假日</v>
      </c>
    </row>
    <row r="29" spans="1:18">
      <c r="A29" s="31" t="s">
        <v>88</v>
      </c>
      <c r="B29" s="24">
        <v>44197</v>
      </c>
      <c r="C29" s="24"/>
      <c r="E29" s="21">
        <v>43858</v>
      </c>
      <c r="F29" s="20" t="str">
        <f t="shared" si="0"/>
        <v>节假日</v>
      </c>
    </row>
    <row r="30" spans="1:18">
      <c r="A30" s="31"/>
      <c r="B30" s="24">
        <v>44198</v>
      </c>
      <c r="C30" s="24"/>
      <c r="E30" s="21">
        <v>43859</v>
      </c>
      <c r="F30" s="20" t="str">
        <f t="shared" si="0"/>
        <v>节假日</v>
      </c>
    </row>
    <row r="31" spans="1:18">
      <c r="A31" s="31"/>
      <c r="B31" s="24">
        <v>44199</v>
      </c>
      <c r="C31" s="24"/>
      <c r="E31" s="21">
        <v>43860</v>
      </c>
      <c r="F31" s="20" t="str">
        <f t="shared" si="0"/>
        <v>节假日</v>
      </c>
    </row>
    <row r="32" spans="1:18">
      <c r="A32" s="31" t="s">
        <v>87</v>
      </c>
      <c r="B32" s="24">
        <v>44238</v>
      </c>
      <c r="C32" s="24">
        <v>44234</v>
      </c>
      <c r="E32" s="21">
        <v>43861</v>
      </c>
      <c r="F32" s="20" t="str">
        <f t="shared" si="0"/>
        <v>工作日</v>
      </c>
    </row>
    <row r="33" spans="1:6">
      <c r="A33" s="31"/>
      <c r="B33" s="24">
        <v>44239</v>
      </c>
      <c r="C33" s="24">
        <v>44247</v>
      </c>
      <c r="E33" s="21">
        <v>43862</v>
      </c>
      <c r="F33" s="20" t="str">
        <f t="shared" si="0"/>
        <v>工作日</v>
      </c>
    </row>
    <row r="34" spans="1:6">
      <c r="A34" s="31"/>
      <c r="B34" s="24">
        <v>44240</v>
      </c>
      <c r="C34" s="24"/>
      <c r="E34" s="21">
        <v>43863</v>
      </c>
      <c r="F34" s="20" t="str">
        <f t="shared" si="0"/>
        <v>休息日</v>
      </c>
    </row>
    <row r="35" spans="1:6">
      <c r="A35" s="31"/>
      <c r="B35" s="24">
        <v>44241</v>
      </c>
      <c r="C35" s="24"/>
      <c r="E35" s="21">
        <v>43864</v>
      </c>
      <c r="F35" s="20" t="str">
        <f t="shared" si="0"/>
        <v>工作日</v>
      </c>
    </row>
    <row r="36" spans="1:6">
      <c r="A36" s="31"/>
      <c r="B36" s="24">
        <v>44242</v>
      </c>
      <c r="C36" s="24"/>
      <c r="E36" s="21">
        <v>43865</v>
      </c>
      <c r="F36" s="20" t="str">
        <f t="shared" si="0"/>
        <v>工作日</v>
      </c>
    </row>
    <row r="37" spans="1:6">
      <c r="A37" s="31"/>
      <c r="B37" s="24">
        <v>44243</v>
      </c>
      <c r="C37" s="24"/>
      <c r="E37" s="21">
        <v>43866</v>
      </c>
      <c r="F37" s="20" t="str">
        <f t="shared" si="0"/>
        <v>工作日</v>
      </c>
    </row>
    <row r="38" spans="1:6">
      <c r="A38" s="31"/>
      <c r="B38" s="24">
        <v>44244</v>
      </c>
      <c r="C38" s="24"/>
      <c r="E38" s="21">
        <v>43867</v>
      </c>
      <c r="F38" s="20" t="str">
        <f t="shared" si="0"/>
        <v>工作日</v>
      </c>
    </row>
    <row r="39" spans="1:6">
      <c r="A39" s="31" t="s">
        <v>86</v>
      </c>
      <c r="B39" s="24">
        <v>44289</v>
      </c>
      <c r="C39" s="24"/>
      <c r="E39" s="21">
        <v>43868</v>
      </c>
      <c r="F39" s="20" t="str">
        <f t="shared" si="0"/>
        <v>工作日</v>
      </c>
    </row>
    <row r="40" spans="1:6">
      <c r="A40" s="31"/>
      <c r="B40" s="24">
        <v>44290</v>
      </c>
      <c r="C40" s="24"/>
      <c r="E40" s="21">
        <v>43869</v>
      </c>
      <c r="F40" s="20" t="str">
        <f t="shared" si="0"/>
        <v>休息日</v>
      </c>
    </row>
    <row r="41" spans="1:6">
      <c r="A41" s="31"/>
      <c r="B41" s="24">
        <v>44291</v>
      </c>
      <c r="C41" s="24"/>
      <c r="E41" s="21">
        <v>43870</v>
      </c>
      <c r="F41" s="20" t="str">
        <f t="shared" si="0"/>
        <v>休息日</v>
      </c>
    </row>
    <row r="42" spans="1:6">
      <c r="A42" s="31" t="s">
        <v>85</v>
      </c>
      <c r="B42" s="24">
        <v>44317</v>
      </c>
      <c r="C42" s="24">
        <v>44311</v>
      </c>
      <c r="E42" s="21">
        <v>43871</v>
      </c>
      <c r="F42" s="20" t="str">
        <f t="shared" si="0"/>
        <v>工作日</v>
      </c>
    </row>
    <row r="43" spans="1:6">
      <c r="A43" s="31"/>
      <c r="B43" s="24">
        <v>44318</v>
      </c>
      <c r="C43" s="24">
        <v>44324</v>
      </c>
      <c r="E43" s="21">
        <v>43872</v>
      </c>
      <c r="F43" s="20" t="str">
        <f t="shared" si="0"/>
        <v>工作日</v>
      </c>
    </row>
    <row r="44" spans="1:6">
      <c r="A44" s="31"/>
      <c r="B44" s="24">
        <v>44319</v>
      </c>
      <c r="C44" s="24"/>
      <c r="E44" s="21">
        <v>43873</v>
      </c>
      <c r="F44" s="20" t="str">
        <f t="shared" si="0"/>
        <v>工作日</v>
      </c>
    </row>
    <row r="45" spans="1:6">
      <c r="A45" s="31"/>
      <c r="B45" s="24">
        <v>44320</v>
      </c>
      <c r="C45" s="24"/>
      <c r="E45" s="21">
        <v>43874</v>
      </c>
      <c r="F45" s="20" t="str">
        <f t="shared" si="0"/>
        <v>工作日</v>
      </c>
    </row>
    <row r="46" spans="1:6">
      <c r="A46" s="31"/>
      <c r="B46" s="24">
        <v>44321</v>
      </c>
      <c r="C46" s="24"/>
      <c r="E46" s="21">
        <v>43875</v>
      </c>
      <c r="F46" s="20" t="str">
        <f t="shared" si="0"/>
        <v>工作日</v>
      </c>
    </row>
    <row r="47" spans="1:6">
      <c r="A47" s="31" t="s">
        <v>84</v>
      </c>
      <c r="B47" s="24">
        <v>44359</v>
      </c>
      <c r="C47" s="24"/>
      <c r="E47" s="21">
        <v>43876</v>
      </c>
      <c r="F47" s="20" t="str">
        <f t="shared" si="0"/>
        <v>休息日</v>
      </c>
    </row>
    <row r="48" spans="1:6">
      <c r="A48" s="31"/>
      <c r="B48" s="24">
        <v>44360</v>
      </c>
      <c r="C48" s="24"/>
      <c r="E48" s="21">
        <v>43877</v>
      </c>
      <c r="F48" s="20" t="str">
        <f t="shared" si="0"/>
        <v>休息日</v>
      </c>
    </row>
    <row r="49" spans="1:6">
      <c r="A49" s="31"/>
      <c r="B49" s="24">
        <v>44361</v>
      </c>
      <c r="C49" s="24"/>
      <c r="E49" s="21">
        <v>43878</v>
      </c>
      <c r="F49" s="20" t="str">
        <f t="shared" si="0"/>
        <v>工作日</v>
      </c>
    </row>
    <row r="50" spans="1:6">
      <c r="A50" s="31" t="s">
        <v>83</v>
      </c>
      <c r="B50" s="24">
        <v>44458</v>
      </c>
      <c r="C50" s="24">
        <v>44457</v>
      </c>
      <c r="E50" s="21">
        <v>43879</v>
      </c>
      <c r="F50" s="20" t="str">
        <f t="shared" si="0"/>
        <v>工作日</v>
      </c>
    </row>
    <row r="51" spans="1:6">
      <c r="A51" s="31"/>
      <c r="B51" s="24">
        <v>44459</v>
      </c>
      <c r="C51" s="24"/>
      <c r="E51" s="21">
        <v>43880</v>
      </c>
      <c r="F51" s="20" t="str">
        <f t="shared" si="0"/>
        <v>工作日</v>
      </c>
    </row>
    <row r="52" spans="1:6">
      <c r="A52" s="31"/>
      <c r="B52" s="24">
        <v>44460</v>
      </c>
      <c r="C52" s="24"/>
      <c r="E52" s="21">
        <v>43881</v>
      </c>
      <c r="F52" s="20" t="str">
        <f t="shared" si="0"/>
        <v>工作日</v>
      </c>
    </row>
    <row r="53" spans="1:6">
      <c r="A53" s="31" t="s">
        <v>82</v>
      </c>
      <c r="B53" s="24">
        <v>44470</v>
      </c>
      <c r="C53" s="24">
        <v>44465</v>
      </c>
      <c r="E53" s="21">
        <v>43882</v>
      </c>
      <c r="F53" s="20" t="str">
        <f t="shared" si="0"/>
        <v>工作日</v>
      </c>
    </row>
    <row r="54" spans="1:6">
      <c r="A54" s="31"/>
      <c r="B54" s="24">
        <v>44471</v>
      </c>
      <c r="C54" s="24">
        <v>44478</v>
      </c>
      <c r="E54" s="21">
        <v>43883</v>
      </c>
      <c r="F54" s="20" t="str">
        <f t="shared" si="0"/>
        <v>休息日</v>
      </c>
    </row>
    <row r="55" spans="1:6">
      <c r="A55" s="31"/>
      <c r="B55" s="24">
        <v>44472</v>
      </c>
      <c r="C55" s="24"/>
      <c r="E55" s="21">
        <v>43884</v>
      </c>
      <c r="F55" s="20" t="str">
        <f t="shared" si="0"/>
        <v>休息日</v>
      </c>
    </row>
    <row r="56" spans="1:6">
      <c r="A56" s="31"/>
      <c r="B56" s="24">
        <v>44473</v>
      </c>
      <c r="C56" s="24"/>
      <c r="E56" s="21">
        <v>43885</v>
      </c>
      <c r="F56" s="20" t="str">
        <f t="shared" si="0"/>
        <v>工作日</v>
      </c>
    </row>
    <row r="57" spans="1:6">
      <c r="A57" s="31"/>
      <c r="B57" s="24">
        <v>44474</v>
      </c>
      <c r="C57" s="24"/>
      <c r="E57" s="21">
        <v>43886</v>
      </c>
      <c r="F57" s="20" t="str">
        <f t="shared" si="0"/>
        <v>工作日</v>
      </c>
    </row>
    <row r="58" spans="1:6">
      <c r="A58" s="31"/>
      <c r="B58" s="24">
        <v>44475</v>
      </c>
      <c r="C58" s="24"/>
      <c r="E58" s="21">
        <v>43887</v>
      </c>
      <c r="F58" s="20" t="str">
        <f t="shared" si="0"/>
        <v>工作日</v>
      </c>
    </row>
    <row r="59" spans="1:6">
      <c r="A59" s="31"/>
      <c r="B59" s="24">
        <v>44476</v>
      </c>
      <c r="C59" s="24"/>
      <c r="E59" s="21">
        <v>43888</v>
      </c>
      <c r="F59" s="20" t="str">
        <f t="shared" si="0"/>
        <v>工作日</v>
      </c>
    </row>
    <row r="60" spans="1:6">
      <c r="E60" s="21">
        <v>43889</v>
      </c>
      <c r="F60" s="20" t="str">
        <f t="shared" si="0"/>
        <v>工作日</v>
      </c>
    </row>
    <row r="61" spans="1:6">
      <c r="E61" s="21">
        <v>43890</v>
      </c>
      <c r="F61" s="20" t="str">
        <f t="shared" si="0"/>
        <v>休息日</v>
      </c>
    </row>
    <row r="62" spans="1:6">
      <c r="E62" s="21">
        <v>43891</v>
      </c>
      <c r="F62" s="20" t="str">
        <f t="shared" si="0"/>
        <v>休息日</v>
      </c>
    </row>
    <row r="63" spans="1:6">
      <c r="E63" s="21">
        <v>43892</v>
      </c>
      <c r="F63" s="20" t="str">
        <f t="shared" si="0"/>
        <v>工作日</v>
      </c>
    </row>
    <row r="64" spans="1:6">
      <c r="E64" s="21">
        <v>43893</v>
      </c>
      <c r="F64" s="20" t="str">
        <f t="shared" si="0"/>
        <v>工作日</v>
      </c>
    </row>
    <row r="65" spans="5:6">
      <c r="E65" s="21">
        <v>43894</v>
      </c>
      <c r="F65" s="20" t="str">
        <f t="shared" si="0"/>
        <v>工作日</v>
      </c>
    </row>
    <row r="66" spans="5:6">
      <c r="E66" s="21">
        <v>43895</v>
      </c>
      <c r="F66" s="20" t="str">
        <f t="shared" si="0"/>
        <v>工作日</v>
      </c>
    </row>
    <row r="67" spans="5:6">
      <c r="E67" s="21">
        <v>43896</v>
      </c>
      <c r="F67" s="20" t="str">
        <f t="shared" ref="F67:F130" si="1">IF(COUNTIF(B:B,E67)&gt;=1,"节假日",IF(WEEKDAY(E67,2)&gt;=6,IF(COUNTIF(C:C,E67)=0,"休息日","工作日"),"工作日"))</f>
        <v>工作日</v>
      </c>
    </row>
    <row r="68" spans="5:6">
      <c r="E68" s="21">
        <v>43897</v>
      </c>
      <c r="F68" s="20" t="str">
        <f t="shared" si="1"/>
        <v>休息日</v>
      </c>
    </row>
    <row r="69" spans="5:6">
      <c r="E69" s="21">
        <v>43898</v>
      </c>
      <c r="F69" s="20" t="str">
        <f t="shared" si="1"/>
        <v>休息日</v>
      </c>
    </row>
    <row r="70" spans="5:6">
      <c r="E70" s="21">
        <v>43899</v>
      </c>
      <c r="F70" s="20" t="str">
        <f t="shared" si="1"/>
        <v>工作日</v>
      </c>
    </row>
    <row r="71" spans="5:6">
      <c r="E71" s="21">
        <v>43900</v>
      </c>
      <c r="F71" s="20" t="str">
        <f t="shared" si="1"/>
        <v>工作日</v>
      </c>
    </row>
    <row r="72" spans="5:6">
      <c r="E72" s="21">
        <v>43901</v>
      </c>
      <c r="F72" s="20" t="str">
        <f t="shared" si="1"/>
        <v>工作日</v>
      </c>
    </row>
    <row r="73" spans="5:6">
      <c r="E73" s="21">
        <v>43902</v>
      </c>
      <c r="F73" s="20" t="str">
        <f t="shared" si="1"/>
        <v>工作日</v>
      </c>
    </row>
    <row r="74" spans="5:6">
      <c r="E74" s="21">
        <v>43903</v>
      </c>
      <c r="F74" s="20" t="str">
        <f t="shared" si="1"/>
        <v>工作日</v>
      </c>
    </row>
    <row r="75" spans="5:6">
      <c r="E75" s="21">
        <v>43904</v>
      </c>
      <c r="F75" s="20" t="str">
        <f t="shared" si="1"/>
        <v>休息日</v>
      </c>
    </row>
    <row r="76" spans="5:6">
      <c r="E76" s="21">
        <v>43905</v>
      </c>
      <c r="F76" s="20" t="str">
        <f t="shared" si="1"/>
        <v>休息日</v>
      </c>
    </row>
    <row r="77" spans="5:6">
      <c r="E77" s="21">
        <v>43906</v>
      </c>
      <c r="F77" s="20" t="str">
        <f t="shared" si="1"/>
        <v>工作日</v>
      </c>
    </row>
    <row r="78" spans="5:6">
      <c r="E78" s="21">
        <v>43907</v>
      </c>
      <c r="F78" s="20" t="str">
        <f t="shared" si="1"/>
        <v>工作日</v>
      </c>
    </row>
    <row r="79" spans="5:6">
      <c r="E79" s="21">
        <v>43908</v>
      </c>
      <c r="F79" s="20" t="str">
        <f t="shared" si="1"/>
        <v>工作日</v>
      </c>
    </row>
    <row r="80" spans="5:6">
      <c r="E80" s="21">
        <v>43909</v>
      </c>
      <c r="F80" s="20" t="str">
        <f t="shared" si="1"/>
        <v>工作日</v>
      </c>
    </row>
    <row r="81" spans="5:6">
      <c r="E81" s="21">
        <v>43910</v>
      </c>
      <c r="F81" s="20" t="str">
        <f t="shared" si="1"/>
        <v>工作日</v>
      </c>
    </row>
    <row r="82" spans="5:6">
      <c r="E82" s="21">
        <v>43911</v>
      </c>
      <c r="F82" s="20" t="str">
        <f t="shared" si="1"/>
        <v>休息日</v>
      </c>
    </row>
    <row r="83" spans="5:6">
      <c r="E83" s="21">
        <v>43912</v>
      </c>
      <c r="F83" s="20" t="str">
        <f t="shared" si="1"/>
        <v>休息日</v>
      </c>
    </row>
    <row r="84" spans="5:6">
      <c r="E84" s="21">
        <v>43913</v>
      </c>
      <c r="F84" s="20" t="str">
        <f t="shared" si="1"/>
        <v>工作日</v>
      </c>
    </row>
    <row r="85" spans="5:6">
      <c r="E85" s="21">
        <v>43914</v>
      </c>
      <c r="F85" s="20" t="str">
        <f t="shared" si="1"/>
        <v>工作日</v>
      </c>
    </row>
    <row r="86" spans="5:6">
      <c r="E86" s="21">
        <v>43915</v>
      </c>
      <c r="F86" s="20" t="str">
        <f t="shared" si="1"/>
        <v>工作日</v>
      </c>
    </row>
    <row r="87" spans="5:6">
      <c r="E87" s="21">
        <v>43916</v>
      </c>
      <c r="F87" s="20" t="str">
        <f t="shared" si="1"/>
        <v>工作日</v>
      </c>
    </row>
    <row r="88" spans="5:6">
      <c r="E88" s="21">
        <v>43917</v>
      </c>
      <c r="F88" s="20" t="str">
        <f t="shared" si="1"/>
        <v>工作日</v>
      </c>
    </row>
    <row r="89" spans="5:6">
      <c r="E89" s="21">
        <v>43918</v>
      </c>
      <c r="F89" s="20" t="str">
        <f t="shared" si="1"/>
        <v>休息日</v>
      </c>
    </row>
    <row r="90" spans="5:6">
      <c r="E90" s="21">
        <v>43919</v>
      </c>
      <c r="F90" s="20" t="str">
        <f t="shared" si="1"/>
        <v>休息日</v>
      </c>
    </row>
    <row r="91" spans="5:6">
      <c r="E91" s="21">
        <v>43920</v>
      </c>
      <c r="F91" s="20" t="str">
        <f t="shared" si="1"/>
        <v>工作日</v>
      </c>
    </row>
    <row r="92" spans="5:6">
      <c r="E92" s="21">
        <v>43921</v>
      </c>
      <c r="F92" s="20" t="str">
        <f t="shared" si="1"/>
        <v>工作日</v>
      </c>
    </row>
    <row r="93" spans="5:6">
      <c r="E93" s="21">
        <v>43922</v>
      </c>
      <c r="F93" s="20" t="str">
        <f t="shared" si="1"/>
        <v>工作日</v>
      </c>
    </row>
    <row r="94" spans="5:6">
      <c r="E94" s="21">
        <v>43923</v>
      </c>
      <c r="F94" s="20" t="str">
        <f t="shared" si="1"/>
        <v>工作日</v>
      </c>
    </row>
    <row r="95" spans="5:6">
      <c r="E95" s="21">
        <v>43924</v>
      </c>
      <c r="F95" s="20" t="str">
        <f t="shared" si="1"/>
        <v>工作日</v>
      </c>
    </row>
    <row r="96" spans="5:6">
      <c r="E96" s="21">
        <v>43925</v>
      </c>
      <c r="F96" s="20" t="str">
        <f t="shared" si="1"/>
        <v>节假日</v>
      </c>
    </row>
    <row r="97" spans="5:6">
      <c r="E97" s="21">
        <v>43926</v>
      </c>
      <c r="F97" s="20" t="str">
        <f t="shared" si="1"/>
        <v>节假日</v>
      </c>
    </row>
    <row r="98" spans="5:6">
      <c r="E98" s="21">
        <v>43927</v>
      </c>
      <c r="F98" s="20" t="str">
        <f t="shared" si="1"/>
        <v>节假日</v>
      </c>
    </row>
    <row r="99" spans="5:6">
      <c r="E99" s="21">
        <v>43928</v>
      </c>
      <c r="F99" s="20" t="str">
        <f t="shared" si="1"/>
        <v>工作日</v>
      </c>
    </row>
    <row r="100" spans="5:6">
      <c r="E100" s="21">
        <v>43929</v>
      </c>
      <c r="F100" s="20" t="str">
        <f t="shared" si="1"/>
        <v>工作日</v>
      </c>
    </row>
    <row r="101" spans="5:6">
      <c r="E101" s="21">
        <v>43930</v>
      </c>
      <c r="F101" s="20" t="str">
        <f t="shared" si="1"/>
        <v>工作日</v>
      </c>
    </row>
    <row r="102" spans="5:6">
      <c r="E102" s="21">
        <v>43931</v>
      </c>
      <c r="F102" s="20" t="str">
        <f t="shared" si="1"/>
        <v>工作日</v>
      </c>
    </row>
    <row r="103" spans="5:6">
      <c r="E103" s="21">
        <v>43932</v>
      </c>
      <c r="F103" s="20" t="str">
        <f t="shared" si="1"/>
        <v>休息日</v>
      </c>
    </row>
    <row r="104" spans="5:6">
      <c r="E104" s="21">
        <v>43933</v>
      </c>
      <c r="F104" s="20" t="str">
        <f t="shared" si="1"/>
        <v>休息日</v>
      </c>
    </row>
    <row r="105" spans="5:6">
      <c r="E105" s="21">
        <v>43934</v>
      </c>
      <c r="F105" s="20" t="str">
        <f t="shared" si="1"/>
        <v>工作日</v>
      </c>
    </row>
    <row r="106" spans="5:6">
      <c r="E106" s="21">
        <v>43935</v>
      </c>
      <c r="F106" s="20" t="str">
        <f t="shared" si="1"/>
        <v>工作日</v>
      </c>
    </row>
    <row r="107" spans="5:6">
      <c r="E107" s="21">
        <v>43936</v>
      </c>
      <c r="F107" s="20" t="str">
        <f t="shared" si="1"/>
        <v>工作日</v>
      </c>
    </row>
    <row r="108" spans="5:6">
      <c r="E108" s="21">
        <v>43937</v>
      </c>
      <c r="F108" s="20" t="str">
        <f t="shared" si="1"/>
        <v>工作日</v>
      </c>
    </row>
    <row r="109" spans="5:6">
      <c r="E109" s="21">
        <v>43938</v>
      </c>
      <c r="F109" s="20" t="str">
        <f t="shared" si="1"/>
        <v>工作日</v>
      </c>
    </row>
    <row r="110" spans="5:6">
      <c r="E110" s="21">
        <v>43939</v>
      </c>
      <c r="F110" s="20" t="str">
        <f t="shared" si="1"/>
        <v>休息日</v>
      </c>
    </row>
    <row r="111" spans="5:6">
      <c r="E111" s="21">
        <v>43940</v>
      </c>
      <c r="F111" s="20" t="str">
        <f t="shared" si="1"/>
        <v>休息日</v>
      </c>
    </row>
    <row r="112" spans="5:6">
      <c r="E112" s="21">
        <v>43941</v>
      </c>
      <c r="F112" s="20" t="str">
        <f t="shared" si="1"/>
        <v>工作日</v>
      </c>
    </row>
    <row r="113" spans="5:6">
      <c r="E113" s="21">
        <v>43942</v>
      </c>
      <c r="F113" s="20" t="str">
        <f t="shared" si="1"/>
        <v>工作日</v>
      </c>
    </row>
    <row r="114" spans="5:6">
      <c r="E114" s="21">
        <v>43943</v>
      </c>
      <c r="F114" s="20" t="str">
        <f t="shared" si="1"/>
        <v>工作日</v>
      </c>
    </row>
    <row r="115" spans="5:6">
      <c r="E115" s="21">
        <v>43944</v>
      </c>
      <c r="F115" s="20" t="str">
        <f t="shared" si="1"/>
        <v>工作日</v>
      </c>
    </row>
    <row r="116" spans="5:6">
      <c r="E116" s="21">
        <v>43945</v>
      </c>
      <c r="F116" s="20" t="str">
        <f t="shared" si="1"/>
        <v>工作日</v>
      </c>
    </row>
    <row r="117" spans="5:6">
      <c r="E117" s="21">
        <v>43946</v>
      </c>
      <c r="F117" s="20" t="str">
        <f t="shared" si="1"/>
        <v>休息日</v>
      </c>
    </row>
    <row r="118" spans="5:6">
      <c r="E118" s="21">
        <v>43947</v>
      </c>
      <c r="F118" s="20" t="str">
        <f t="shared" si="1"/>
        <v>工作日</v>
      </c>
    </row>
    <row r="119" spans="5:6">
      <c r="E119" s="21">
        <v>43948</v>
      </c>
      <c r="F119" s="20" t="str">
        <f t="shared" si="1"/>
        <v>工作日</v>
      </c>
    </row>
    <row r="120" spans="5:6">
      <c r="E120" s="21">
        <v>43949</v>
      </c>
      <c r="F120" s="20" t="str">
        <f t="shared" si="1"/>
        <v>工作日</v>
      </c>
    </row>
    <row r="121" spans="5:6">
      <c r="E121" s="21">
        <v>43950</v>
      </c>
      <c r="F121" s="20" t="str">
        <f t="shared" si="1"/>
        <v>工作日</v>
      </c>
    </row>
    <row r="122" spans="5:6">
      <c r="E122" s="21">
        <v>43951</v>
      </c>
      <c r="F122" s="20" t="str">
        <f t="shared" si="1"/>
        <v>工作日</v>
      </c>
    </row>
    <row r="123" spans="5:6">
      <c r="E123" s="21">
        <v>43952</v>
      </c>
      <c r="F123" s="20" t="str">
        <f t="shared" si="1"/>
        <v>节假日</v>
      </c>
    </row>
    <row r="124" spans="5:6">
      <c r="E124" s="21">
        <v>43953</v>
      </c>
      <c r="F124" s="20" t="str">
        <f t="shared" si="1"/>
        <v>节假日</v>
      </c>
    </row>
    <row r="125" spans="5:6">
      <c r="E125" s="21">
        <v>43954</v>
      </c>
      <c r="F125" s="20" t="str">
        <f t="shared" si="1"/>
        <v>节假日</v>
      </c>
    </row>
    <row r="126" spans="5:6">
      <c r="E126" s="21">
        <v>43955</v>
      </c>
      <c r="F126" s="20" t="str">
        <f t="shared" si="1"/>
        <v>节假日</v>
      </c>
    </row>
    <row r="127" spans="5:6">
      <c r="E127" s="21">
        <v>43956</v>
      </c>
      <c r="F127" s="20" t="str">
        <f t="shared" si="1"/>
        <v>节假日</v>
      </c>
    </row>
    <row r="128" spans="5:6">
      <c r="E128" s="21">
        <v>43957</v>
      </c>
      <c r="F128" s="20" t="str">
        <f t="shared" si="1"/>
        <v>工作日</v>
      </c>
    </row>
    <row r="129" spans="5:6">
      <c r="E129" s="21">
        <v>43958</v>
      </c>
      <c r="F129" s="20" t="str">
        <f t="shared" si="1"/>
        <v>工作日</v>
      </c>
    </row>
    <row r="130" spans="5:6">
      <c r="E130" s="21">
        <v>43959</v>
      </c>
      <c r="F130" s="20" t="str">
        <f t="shared" si="1"/>
        <v>工作日</v>
      </c>
    </row>
    <row r="131" spans="5:6">
      <c r="E131" s="21">
        <v>43960</v>
      </c>
      <c r="F131" s="20" t="str">
        <f t="shared" ref="F131:F194" si="2">IF(COUNTIF(B:B,E131)&gt;=1,"节假日",IF(WEEKDAY(E131,2)&gt;=6,IF(COUNTIF(C:C,E131)=0,"休息日","工作日"),"工作日"))</f>
        <v>工作日</v>
      </c>
    </row>
    <row r="132" spans="5:6">
      <c r="E132" s="21">
        <v>43961</v>
      </c>
      <c r="F132" s="20" t="str">
        <f t="shared" si="2"/>
        <v>休息日</v>
      </c>
    </row>
    <row r="133" spans="5:6">
      <c r="E133" s="21">
        <v>43962</v>
      </c>
      <c r="F133" s="20" t="str">
        <f t="shared" si="2"/>
        <v>工作日</v>
      </c>
    </row>
    <row r="134" spans="5:6">
      <c r="E134" s="21">
        <v>43963</v>
      </c>
      <c r="F134" s="20" t="str">
        <f t="shared" si="2"/>
        <v>工作日</v>
      </c>
    </row>
    <row r="135" spans="5:6">
      <c r="E135" s="21">
        <v>43964</v>
      </c>
      <c r="F135" s="20" t="str">
        <f t="shared" si="2"/>
        <v>工作日</v>
      </c>
    </row>
    <row r="136" spans="5:6">
      <c r="E136" s="21">
        <v>43965</v>
      </c>
      <c r="F136" s="20" t="str">
        <f t="shared" si="2"/>
        <v>工作日</v>
      </c>
    </row>
    <row r="137" spans="5:6">
      <c r="E137" s="21">
        <v>43966</v>
      </c>
      <c r="F137" s="20" t="str">
        <f t="shared" si="2"/>
        <v>工作日</v>
      </c>
    </row>
    <row r="138" spans="5:6">
      <c r="E138" s="21">
        <v>43967</v>
      </c>
      <c r="F138" s="20" t="str">
        <f t="shared" si="2"/>
        <v>休息日</v>
      </c>
    </row>
    <row r="139" spans="5:6">
      <c r="E139" s="21">
        <v>43968</v>
      </c>
      <c r="F139" s="20" t="str">
        <f t="shared" si="2"/>
        <v>休息日</v>
      </c>
    </row>
    <row r="140" spans="5:6">
      <c r="E140" s="21">
        <v>43969</v>
      </c>
      <c r="F140" s="20" t="str">
        <f t="shared" si="2"/>
        <v>工作日</v>
      </c>
    </row>
    <row r="141" spans="5:6">
      <c r="E141" s="21">
        <v>43970</v>
      </c>
      <c r="F141" s="20" t="str">
        <f t="shared" si="2"/>
        <v>工作日</v>
      </c>
    </row>
    <row r="142" spans="5:6">
      <c r="E142" s="21">
        <v>43971</v>
      </c>
      <c r="F142" s="20" t="str">
        <f t="shared" si="2"/>
        <v>工作日</v>
      </c>
    </row>
    <row r="143" spans="5:6">
      <c r="E143" s="21">
        <v>43972</v>
      </c>
      <c r="F143" s="20" t="str">
        <f t="shared" si="2"/>
        <v>工作日</v>
      </c>
    </row>
    <row r="144" spans="5:6">
      <c r="E144" s="21">
        <v>43973</v>
      </c>
      <c r="F144" s="20" t="str">
        <f t="shared" si="2"/>
        <v>工作日</v>
      </c>
    </row>
    <row r="145" spans="5:6">
      <c r="E145" s="21">
        <v>43974</v>
      </c>
      <c r="F145" s="20" t="str">
        <f t="shared" si="2"/>
        <v>休息日</v>
      </c>
    </row>
    <row r="146" spans="5:6">
      <c r="E146" s="21">
        <v>43975</v>
      </c>
      <c r="F146" s="20" t="str">
        <f t="shared" si="2"/>
        <v>休息日</v>
      </c>
    </row>
    <row r="147" spans="5:6">
      <c r="E147" s="21">
        <v>43976</v>
      </c>
      <c r="F147" s="20" t="str">
        <f t="shared" si="2"/>
        <v>工作日</v>
      </c>
    </row>
    <row r="148" spans="5:6">
      <c r="E148" s="21">
        <v>43977</v>
      </c>
      <c r="F148" s="20" t="str">
        <f t="shared" si="2"/>
        <v>工作日</v>
      </c>
    </row>
    <row r="149" spans="5:6">
      <c r="E149" s="21">
        <v>43978</v>
      </c>
      <c r="F149" s="20" t="str">
        <f t="shared" si="2"/>
        <v>工作日</v>
      </c>
    </row>
    <row r="150" spans="5:6">
      <c r="E150" s="21">
        <v>43979</v>
      </c>
      <c r="F150" s="20" t="str">
        <f t="shared" si="2"/>
        <v>工作日</v>
      </c>
    </row>
    <row r="151" spans="5:6">
      <c r="E151" s="21">
        <v>43980</v>
      </c>
      <c r="F151" s="20" t="str">
        <f t="shared" si="2"/>
        <v>工作日</v>
      </c>
    </row>
    <row r="152" spans="5:6">
      <c r="E152" s="21">
        <v>43981</v>
      </c>
      <c r="F152" s="20" t="str">
        <f t="shared" si="2"/>
        <v>休息日</v>
      </c>
    </row>
    <row r="153" spans="5:6">
      <c r="E153" s="21">
        <v>43982</v>
      </c>
      <c r="F153" s="20" t="str">
        <f t="shared" si="2"/>
        <v>休息日</v>
      </c>
    </row>
    <row r="154" spans="5:6">
      <c r="E154" s="21">
        <v>43983</v>
      </c>
      <c r="F154" s="20" t="str">
        <f t="shared" si="2"/>
        <v>工作日</v>
      </c>
    </row>
    <row r="155" spans="5:6">
      <c r="E155" s="21">
        <v>43984</v>
      </c>
      <c r="F155" s="20" t="str">
        <f t="shared" si="2"/>
        <v>工作日</v>
      </c>
    </row>
    <row r="156" spans="5:6">
      <c r="E156" s="21">
        <v>43985</v>
      </c>
      <c r="F156" s="20" t="str">
        <f t="shared" si="2"/>
        <v>工作日</v>
      </c>
    </row>
    <row r="157" spans="5:6">
      <c r="E157" s="21">
        <v>43986</v>
      </c>
      <c r="F157" s="20" t="str">
        <f t="shared" si="2"/>
        <v>工作日</v>
      </c>
    </row>
    <row r="158" spans="5:6">
      <c r="E158" s="21">
        <v>43987</v>
      </c>
      <c r="F158" s="20" t="str">
        <f t="shared" si="2"/>
        <v>工作日</v>
      </c>
    </row>
    <row r="159" spans="5:6">
      <c r="E159" s="21">
        <v>43988</v>
      </c>
      <c r="F159" s="20" t="str">
        <f t="shared" si="2"/>
        <v>休息日</v>
      </c>
    </row>
    <row r="160" spans="5:6">
      <c r="E160" s="21">
        <v>43989</v>
      </c>
      <c r="F160" s="20" t="str">
        <f t="shared" si="2"/>
        <v>休息日</v>
      </c>
    </row>
    <row r="161" spans="5:6">
      <c r="E161" s="21">
        <v>43990</v>
      </c>
      <c r="F161" s="20" t="str">
        <f t="shared" si="2"/>
        <v>工作日</v>
      </c>
    </row>
    <row r="162" spans="5:6">
      <c r="E162" s="21">
        <v>43991</v>
      </c>
      <c r="F162" s="20" t="str">
        <f t="shared" si="2"/>
        <v>工作日</v>
      </c>
    </row>
    <row r="163" spans="5:6">
      <c r="E163" s="21">
        <v>43992</v>
      </c>
      <c r="F163" s="20" t="str">
        <f t="shared" si="2"/>
        <v>工作日</v>
      </c>
    </row>
    <row r="164" spans="5:6">
      <c r="E164" s="21">
        <v>43993</v>
      </c>
      <c r="F164" s="20" t="str">
        <f t="shared" si="2"/>
        <v>工作日</v>
      </c>
    </row>
    <row r="165" spans="5:6">
      <c r="E165" s="21">
        <v>43994</v>
      </c>
      <c r="F165" s="20" t="str">
        <f t="shared" si="2"/>
        <v>工作日</v>
      </c>
    </row>
    <row r="166" spans="5:6">
      <c r="E166" s="21">
        <v>43995</v>
      </c>
      <c r="F166" s="20" t="str">
        <f t="shared" si="2"/>
        <v>休息日</v>
      </c>
    </row>
    <row r="167" spans="5:6">
      <c r="E167" s="21">
        <v>43996</v>
      </c>
      <c r="F167" s="20" t="str">
        <f t="shared" si="2"/>
        <v>休息日</v>
      </c>
    </row>
    <row r="168" spans="5:6">
      <c r="E168" s="21">
        <v>43997</v>
      </c>
      <c r="F168" s="20" t="str">
        <f t="shared" si="2"/>
        <v>工作日</v>
      </c>
    </row>
    <row r="169" spans="5:6">
      <c r="E169" s="21">
        <v>43998</v>
      </c>
      <c r="F169" s="20" t="str">
        <f t="shared" si="2"/>
        <v>工作日</v>
      </c>
    </row>
    <row r="170" spans="5:6">
      <c r="E170" s="21">
        <v>43999</v>
      </c>
      <c r="F170" s="20" t="str">
        <f t="shared" si="2"/>
        <v>工作日</v>
      </c>
    </row>
    <row r="171" spans="5:6">
      <c r="E171" s="21">
        <v>44000</v>
      </c>
      <c r="F171" s="20" t="str">
        <f t="shared" si="2"/>
        <v>工作日</v>
      </c>
    </row>
    <row r="172" spans="5:6">
      <c r="E172" s="21">
        <v>44001</v>
      </c>
      <c r="F172" s="20" t="str">
        <f t="shared" si="2"/>
        <v>工作日</v>
      </c>
    </row>
    <row r="173" spans="5:6">
      <c r="E173" s="21">
        <v>44002</v>
      </c>
      <c r="F173" s="20" t="str">
        <f t="shared" si="2"/>
        <v>休息日</v>
      </c>
    </row>
    <row r="174" spans="5:6">
      <c r="E174" s="21">
        <v>44003</v>
      </c>
      <c r="F174" s="20" t="str">
        <f t="shared" si="2"/>
        <v>休息日</v>
      </c>
    </row>
    <row r="175" spans="5:6">
      <c r="E175" s="21">
        <v>44004</v>
      </c>
      <c r="F175" s="20" t="str">
        <f t="shared" si="2"/>
        <v>工作日</v>
      </c>
    </row>
    <row r="176" spans="5:6">
      <c r="E176" s="21">
        <v>44005</v>
      </c>
      <c r="F176" s="20" t="str">
        <f t="shared" si="2"/>
        <v>工作日</v>
      </c>
    </row>
    <row r="177" spans="5:6">
      <c r="E177" s="21">
        <v>44006</v>
      </c>
      <c r="F177" s="20" t="str">
        <f t="shared" si="2"/>
        <v>工作日</v>
      </c>
    </row>
    <row r="178" spans="5:6">
      <c r="E178" s="21">
        <v>44007</v>
      </c>
      <c r="F178" s="20" t="str">
        <f t="shared" si="2"/>
        <v>节假日</v>
      </c>
    </row>
    <row r="179" spans="5:6">
      <c r="E179" s="21">
        <v>44008</v>
      </c>
      <c r="F179" s="20" t="str">
        <f t="shared" si="2"/>
        <v>节假日</v>
      </c>
    </row>
    <row r="180" spans="5:6">
      <c r="E180" s="21">
        <v>44009</v>
      </c>
      <c r="F180" s="20" t="str">
        <f t="shared" si="2"/>
        <v>节假日</v>
      </c>
    </row>
    <row r="181" spans="5:6">
      <c r="E181" s="21">
        <v>44010</v>
      </c>
      <c r="F181" s="20" t="str">
        <f t="shared" si="2"/>
        <v>工作日</v>
      </c>
    </row>
    <row r="182" spans="5:6">
      <c r="E182" s="21">
        <v>44011</v>
      </c>
      <c r="F182" s="20" t="str">
        <f t="shared" si="2"/>
        <v>工作日</v>
      </c>
    </row>
    <row r="183" spans="5:6">
      <c r="E183" s="21">
        <v>44012</v>
      </c>
      <c r="F183" s="20" t="str">
        <f t="shared" si="2"/>
        <v>工作日</v>
      </c>
    </row>
    <row r="184" spans="5:6">
      <c r="E184" s="21">
        <v>44013</v>
      </c>
      <c r="F184" s="20" t="str">
        <f t="shared" si="2"/>
        <v>工作日</v>
      </c>
    </row>
    <row r="185" spans="5:6">
      <c r="E185" s="21">
        <v>44014</v>
      </c>
      <c r="F185" s="20" t="str">
        <f t="shared" si="2"/>
        <v>工作日</v>
      </c>
    </row>
    <row r="186" spans="5:6">
      <c r="E186" s="21">
        <v>44015</v>
      </c>
      <c r="F186" s="20" t="str">
        <f t="shared" si="2"/>
        <v>工作日</v>
      </c>
    </row>
    <row r="187" spans="5:6">
      <c r="E187" s="21">
        <v>44016</v>
      </c>
      <c r="F187" s="20" t="str">
        <f t="shared" si="2"/>
        <v>休息日</v>
      </c>
    </row>
    <row r="188" spans="5:6">
      <c r="E188" s="21">
        <v>44017</v>
      </c>
      <c r="F188" s="20" t="str">
        <f t="shared" si="2"/>
        <v>休息日</v>
      </c>
    </row>
    <row r="189" spans="5:6">
      <c r="E189" s="21">
        <v>44018</v>
      </c>
      <c r="F189" s="20" t="str">
        <f t="shared" si="2"/>
        <v>工作日</v>
      </c>
    </row>
    <row r="190" spans="5:6">
      <c r="E190" s="21">
        <v>44019</v>
      </c>
      <c r="F190" s="20" t="str">
        <f t="shared" si="2"/>
        <v>工作日</v>
      </c>
    </row>
    <row r="191" spans="5:6">
      <c r="E191" s="21">
        <v>44020</v>
      </c>
      <c r="F191" s="20" t="str">
        <f t="shared" si="2"/>
        <v>工作日</v>
      </c>
    </row>
    <row r="192" spans="5:6">
      <c r="E192" s="21">
        <v>44021</v>
      </c>
      <c r="F192" s="20" t="str">
        <f t="shared" si="2"/>
        <v>工作日</v>
      </c>
    </row>
    <row r="193" spans="5:6">
      <c r="E193" s="21">
        <v>44022</v>
      </c>
      <c r="F193" s="20" t="str">
        <f t="shared" si="2"/>
        <v>工作日</v>
      </c>
    </row>
    <row r="194" spans="5:6">
      <c r="E194" s="21">
        <v>44023</v>
      </c>
      <c r="F194" s="20" t="str">
        <f t="shared" si="2"/>
        <v>休息日</v>
      </c>
    </row>
    <row r="195" spans="5:6">
      <c r="E195" s="21">
        <v>44024</v>
      </c>
      <c r="F195" s="20" t="str">
        <f t="shared" ref="F195:F258" si="3">IF(COUNTIF(B:B,E195)&gt;=1,"节假日",IF(WEEKDAY(E195,2)&gt;=6,IF(COUNTIF(C:C,E195)=0,"休息日","工作日"),"工作日"))</f>
        <v>休息日</v>
      </c>
    </row>
    <row r="196" spans="5:6">
      <c r="E196" s="21">
        <v>44025</v>
      </c>
      <c r="F196" s="20" t="str">
        <f t="shared" si="3"/>
        <v>工作日</v>
      </c>
    </row>
    <row r="197" spans="5:6">
      <c r="E197" s="21">
        <v>44026</v>
      </c>
      <c r="F197" s="20" t="str">
        <f t="shared" si="3"/>
        <v>工作日</v>
      </c>
    </row>
    <row r="198" spans="5:6">
      <c r="E198" s="21">
        <v>44027</v>
      </c>
      <c r="F198" s="20" t="str">
        <f t="shared" si="3"/>
        <v>工作日</v>
      </c>
    </row>
    <row r="199" spans="5:6">
      <c r="E199" s="21">
        <v>44028</v>
      </c>
      <c r="F199" s="20" t="str">
        <f t="shared" si="3"/>
        <v>工作日</v>
      </c>
    </row>
    <row r="200" spans="5:6">
      <c r="E200" s="21">
        <v>44029</v>
      </c>
      <c r="F200" s="20" t="str">
        <f t="shared" si="3"/>
        <v>工作日</v>
      </c>
    </row>
    <row r="201" spans="5:6">
      <c r="E201" s="21">
        <v>44030</v>
      </c>
      <c r="F201" s="20" t="str">
        <f t="shared" si="3"/>
        <v>休息日</v>
      </c>
    </row>
    <row r="202" spans="5:6">
      <c r="E202" s="21">
        <v>44031</v>
      </c>
      <c r="F202" s="20" t="str">
        <f t="shared" si="3"/>
        <v>休息日</v>
      </c>
    </row>
    <row r="203" spans="5:6">
      <c r="E203" s="21">
        <v>44032</v>
      </c>
      <c r="F203" s="20" t="str">
        <f t="shared" si="3"/>
        <v>工作日</v>
      </c>
    </row>
    <row r="204" spans="5:6">
      <c r="E204" s="21">
        <v>44033</v>
      </c>
      <c r="F204" s="20" t="str">
        <f t="shared" si="3"/>
        <v>工作日</v>
      </c>
    </row>
    <row r="205" spans="5:6">
      <c r="E205" s="21">
        <v>44034</v>
      </c>
      <c r="F205" s="20" t="str">
        <f t="shared" si="3"/>
        <v>工作日</v>
      </c>
    </row>
    <row r="206" spans="5:6">
      <c r="E206" s="21">
        <v>44035</v>
      </c>
      <c r="F206" s="20" t="str">
        <f t="shared" si="3"/>
        <v>工作日</v>
      </c>
    </row>
    <row r="207" spans="5:6">
      <c r="E207" s="21">
        <v>44036</v>
      </c>
      <c r="F207" s="20" t="str">
        <f t="shared" si="3"/>
        <v>工作日</v>
      </c>
    </row>
    <row r="208" spans="5:6">
      <c r="E208" s="21">
        <v>44037</v>
      </c>
      <c r="F208" s="20" t="str">
        <f t="shared" si="3"/>
        <v>休息日</v>
      </c>
    </row>
    <row r="209" spans="5:6">
      <c r="E209" s="21">
        <v>44038</v>
      </c>
      <c r="F209" s="20" t="str">
        <f t="shared" si="3"/>
        <v>休息日</v>
      </c>
    </row>
    <row r="210" spans="5:6">
      <c r="E210" s="21">
        <v>44039</v>
      </c>
      <c r="F210" s="20" t="str">
        <f t="shared" si="3"/>
        <v>工作日</v>
      </c>
    </row>
    <row r="211" spans="5:6">
      <c r="E211" s="21">
        <v>44040</v>
      </c>
      <c r="F211" s="20" t="str">
        <f t="shared" si="3"/>
        <v>工作日</v>
      </c>
    </row>
    <row r="212" spans="5:6">
      <c r="E212" s="21">
        <v>44041</v>
      </c>
      <c r="F212" s="20" t="str">
        <f t="shared" si="3"/>
        <v>工作日</v>
      </c>
    </row>
    <row r="213" spans="5:6">
      <c r="E213" s="21">
        <v>44042</v>
      </c>
      <c r="F213" s="20" t="str">
        <f t="shared" si="3"/>
        <v>工作日</v>
      </c>
    </row>
    <row r="214" spans="5:6">
      <c r="E214" s="21">
        <v>44043</v>
      </c>
      <c r="F214" s="20" t="str">
        <f t="shared" si="3"/>
        <v>工作日</v>
      </c>
    </row>
    <row r="215" spans="5:6">
      <c r="E215" s="21">
        <v>44044</v>
      </c>
      <c r="F215" s="20" t="str">
        <f t="shared" si="3"/>
        <v>休息日</v>
      </c>
    </row>
    <row r="216" spans="5:6">
      <c r="E216" s="21">
        <v>44045</v>
      </c>
      <c r="F216" s="20" t="str">
        <f t="shared" si="3"/>
        <v>休息日</v>
      </c>
    </row>
    <row r="217" spans="5:6">
      <c r="E217" s="21">
        <v>44046</v>
      </c>
      <c r="F217" s="20" t="str">
        <f t="shared" si="3"/>
        <v>工作日</v>
      </c>
    </row>
    <row r="218" spans="5:6">
      <c r="E218" s="21">
        <v>44047</v>
      </c>
      <c r="F218" s="20" t="str">
        <f t="shared" si="3"/>
        <v>工作日</v>
      </c>
    </row>
    <row r="219" spans="5:6">
      <c r="E219" s="21">
        <v>44048</v>
      </c>
      <c r="F219" s="20" t="str">
        <f t="shared" si="3"/>
        <v>工作日</v>
      </c>
    </row>
    <row r="220" spans="5:6">
      <c r="E220" s="21">
        <v>44049</v>
      </c>
      <c r="F220" s="20" t="str">
        <f t="shared" si="3"/>
        <v>工作日</v>
      </c>
    </row>
    <row r="221" spans="5:6">
      <c r="E221" s="21">
        <v>44050</v>
      </c>
      <c r="F221" s="20" t="str">
        <f t="shared" si="3"/>
        <v>工作日</v>
      </c>
    </row>
    <row r="222" spans="5:6">
      <c r="E222" s="21">
        <v>44051</v>
      </c>
      <c r="F222" s="20" t="str">
        <f t="shared" si="3"/>
        <v>休息日</v>
      </c>
    </row>
    <row r="223" spans="5:6">
      <c r="E223" s="21">
        <v>44052</v>
      </c>
      <c r="F223" s="20" t="str">
        <f t="shared" si="3"/>
        <v>休息日</v>
      </c>
    </row>
    <row r="224" spans="5:6">
      <c r="E224" s="21">
        <v>44053</v>
      </c>
      <c r="F224" s="20" t="str">
        <f t="shared" si="3"/>
        <v>工作日</v>
      </c>
    </row>
    <row r="225" spans="5:6">
      <c r="E225" s="21">
        <v>44054</v>
      </c>
      <c r="F225" s="20" t="str">
        <f t="shared" si="3"/>
        <v>工作日</v>
      </c>
    </row>
    <row r="226" spans="5:6">
      <c r="E226" s="21">
        <v>44055</v>
      </c>
      <c r="F226" s="20" t="str">
        <f t="shared" si="3"/>
        <v>工作日</v>
      </c>
    </row>
    <row r="227" spans="5:6">
      <c r="E227" s="21">
        <v>44056</v>
      </c>
      <c r="F227" s="20" t="str">
        <f t="shared" si="3"/>
        <v>工作日</v>
      </c>
    </row>
    <row r="228" spans="5:6">
      <c r="E228" s="21">
        <v>44057</v>
      </c>
      <c r="F228" s="20" t="str">
        <f t="shared" si="3"/>
        <v>工作日</v>
      </c>
    </row>
    <row r="229" spans="5:6">
      <c r="E229" s="21">
        <v>44058</v>
      </c>
      <c r="F229" s="20" t="str">
        <f t="shared" si="3"/>
        <v>休息日</v>
      </c>
    </row>
    <row r="230" spans="5:6">
      <c r="E230" s="21">
        <v>44059</v>
      </c>
      <c r="F230" s="20" t="str">
        <f t="shared" si="3"/>
        <v>休息日</v>
      </c>
    </row>
    <row r="231" spans="5:6">
      <c r="E231" s="21">
        <v>44060</v>
      </c>
      <c r="F231" s="20" t="str">
        <f t="shared" si="3"/>
        <v>工作日</v>
      </c>
    </row>
    <row r="232" spans="5:6">
      <c r="E232" s="21">
        <v>44061</v>
      </c>
      <c r="F232" s="20" t="str">
        <f t="shared" si="3"/>
        <v>工作日</v>
      </c>
    </row>
    <row r="233" spans="5:6">
      <c r="E233" s="21">
        <v>44062</v>
      </c>
      <c r="F233" s="20" t="str">
        <f t="shared" si="3"/>
        <v>工作日</v>
      </c>
    </row>
    <row r="234" spans="5:6">
      <c r="E234" s="21">
        <v>44063</v>
      </c>
      <c r="F234" s="20" t="str">
        <f t="shared" si="3"/>
        <v>工作日</v>
      </c>
    </row>
    <row r="235" spans="5:6">
      <c r="E235" s="21">
        <v>44064</v>
      </c>
      <c r="F235" s="20" t="str">
        <f t="shared" si="3"/>
        <v>工作日</v>
      </c>
    </row>
    <row r="236" spans="5:6">
      <c r="E236" s="21">
        <v>44065</v>
      </c>
      <c r="F236" s="20" t="str">
        <f t="shared" si="3"/>
        <v>休息日</v>
      </c>
    </row>
    <row r="237" spans="5:6">
      <c r="E237" s="21">
        <v>44066</v>
      </c>
      <c r="F237" s="20" t="str">
        <f t="shared" si="3"/>
        <v>休息日</v>
      </c>
    </row>
    <row r="238" spans="5:6">
      <c r="E238" s="21">
        <v>44067</v>
      </c>
      <c r="F238" s="20" t="str">
        <f t="shared" si="3"/>
        <v>工作日</v>
      </c>
    </row>
    <row r="239" spans="5:6">
      <c r="E239" s="21">
        <v>44068</v>
      </c>
      <c r="F239" s="20" t="str">
        <f t="shared" si="3"/>
        <v>工作日</v>
      </c>
    </row>
    <row r="240" spans="5:6">
      <c r="E240" s="21">
        <v>44069</v>
      </c>
      <c r="F240" s="20" t="str">
        <f t="shared" si="3"/>
        <v>工作日</v>
      </c>
    </row>
    <row r="241" spans="5:6">
      <c r="E241" s="21">
        <v>44070</v>
      </c>
      <c r="F241" s="20" t="str">
        <f t="shared" si="3"/>
        <v>工作日</v>
      </c>
    </row>
    <row r="242" spans="5:6">
      <c r="E242" s="21">
        <v>44071</v>
      </c>
      <c r="F242" s="20" t="str">
        <f t="shared" si="3"/>
        <v>工作日</v>
      </c>
    </row>
    <row r="243" spans="5:6">
      <c r="E243" s="21">
        <v>44072</v>
      </c>
      <c r="F243" s="20" t="str">
        <f t="shared" si="3"/>
        <v>休息日</v>
      </c>
    </row>
    <row r="244" spans="5:6">
      <c r="E244" s="21">
        <v>44073</v>
      </c>
      <c r="F244" s="20" t="str">
        <f t="shared" si="3"/>
        <v>休息日</v>
      </c>
    </row>
    <row r="245" spans="5:6">
      <c r="E245" s="21">
        <v>44074</v>
      </c>
      <c r="F245" s="20" t="str">
        <f t="shared" si="3"/>
        <v>工作日</v>
      </c>
    </row>
    <row r="246" spans="5:6">
      <c r="E246" s="21">
        <v>44075</v>
      </c>
      <c r="F246" s="20" t="str">
        <f t="shared" si="3"/>
        <v>工作日</v>
      </c>
    </row>
    <row r="247" spans="5:6">
      <c r="E247" s="21">
        <v>44076</v>
      </c>
      <c r="F247" s="20" t="str">
        <f t="shared" si="3"/>
        <v>工作日</v>
      </c>
    </row>
    <row r="248" spans="5:6">
      <c r="E248" s="21">
        <v>44077</v>
      </c>
      <c r="F248" s="20" t="str">
        <f t="shared" si="3"/>
        <v>工作日</v>
      </c>
    </row>
    <row r="249" spans="5:6">
      <c r="E249" s="21">
        <v>44078</v>
      </c>
      <c r="F249" s="20" t="str">
        <f t="shared" si="3"/>
        <v>工作日</v>
      </c>
    </row>
    <row r="250" spans="5:6">
      <c r="E250" s="21">
        <v>44079</v>
      </c>
      <c r="F250" s="20" t="str">
        <f t="shared" si="3"/>
        <v>休息日</v>
      </c>
    </row>
    <row r="251" spans="5:6">
      <c r="E251" s="21">
        <v>44080</v>
      </c>
      <c r="F251" s="20" t="str">
        <f t="shared" si="3"/>
        <v>休息日</v>
      </c>
    </row>
    <row r="252" spans="5:6">
      <c r="E252" s="21">
        <v>44081</v>
      </c>
      <c r="F252" s="20" t="str">
        <f t="shared" si="3"/>
        <v>工作日</v>
      </c>
    </row>
    <row r="253" spans="5:6">
      <c r="E253" s="21">
        <v>44082</v>
      </c>
      <c r="F253" s="20" t="str">
        <f t="shared" si="3"/>
        <v>工作日</v>
      </c>
    </row>
    <row r="254" spans="5:6">
      <c r="E254" s="21">
        <v>44083</v>
      </c>
      <c r="F254" s="20" t="str">
        <f t="shared" si="3"/>
        <v>工作日</v>
      </c>
    </row>
    <row r="255" spans="5:6">
      <c r="E255" s="21">
        <v>44084</v>
      </c>
      <c r="F255" s="20" t="str">
        <f t="shared" si="3"/>
        <v>工作日</v>
      </c>
    </row>
    <row r="256" spans="5:6">
      <c r="E256" s="21">
        <v>44085</v>
      </c>
      <c r="F256" s="20" t="str">
        <f t="shared" si="3"/>
        <v>工作日</v>
      </c>
    </row>
    <row r="257" spans="5:6">
      <c r="E257" s="21">
        <v>44086</v>
      </c>
      <c r="F257" s="20" t="str">
        <f t="shared" si="3"/>
        <v>休息日</v>
      </c>
    </row>
    <row r="258" spans="5:6">
      <c r="E258" s="21">
        <v>44087</v>
      </c>
      <c r="F258" s="20" t="str">
        <f t="shared" si="3"/>
        <v>休息日</v>
      </c>
    </row>
    <row r="259" spans="5:6">
      <c r="E259" s="21">
        <v>44088</v>
      </c>
      <c r="F259" s="20" t="str">
        <f t="shared" ref="F259:F322" si="4">IF(COUNTIF(B:B,E259)&gt;=1,"节假日",IF(WEEKDAY(E259,2)&gt;=6,IF(COUNTIF(C:C,E259)=0,"休息日","工作日"),"工作日"))</f>
        <v>工作日</v>
      </c>
    </row>
    <row r="260" spans="5:6">
      <c r="E260" s="21">
        <v>44089</v>
      </c>
      <c r="F260" s="20" t="str">
        <f t="shared" si="4"/>
        <v>工作日</v>
      </c>
    </row>
    <row r="261" spans="5:6">
      <c r="E261" s="21">
        <v>44090</v>
      </c>
      <c r="F261" s="20" t="str">
        <f t="shared" si="4"/>
        <v>工作日</v>
      </c>
    </row>
    <row r="262" spans="5:6">
      <c r="E262" s="21">
        <v>44091</v>
      </c>
      <c r="F262" s="20" t="str">
        <f t="shared" si="4"/>
        <v>工作日</v>
      </c>
    </row>
    <row r="263" spans="5:6">
      <c r="E263" s="21">
        <v>44092</v>
      </c>
      <c r="F263" s="20" t="str">
        <f t="shared" si="4"/>
        <v>工作日</v>
      </c>
    </row>
    <row r="264" spans="5:6">
      <c r="E264" s="21">
        <v>44093</v>
      </c>
      <c r="F264" s="20" t="str">
        <f t="shared" si="4"/>
        <v>休息日</v>
      </c>
    </row>
    <row r="265" spans="5:6">
      <c r="E265" s="21">
        <v>44094</v>
      </c>
      <c r="F265" s="20" t="str">
        <f t="shared" si="4"/>
        <v>休息日</v>
      </c>
    </row>
    <row r="266" spans="5:6">
      <c r="E266" s="21">
        <v>44095</v>
      </c>
      <c r="F266" s="20" t="str">
        <f t="shared" si="4"/>
        <v>工作日</v>
      </c>
    </row>
    <row r="267" spans="5:6">
      <c r="E267" s="21">
        <v>44096</v>
      </c>
      <c r="F267" s="20" t="str">
        <f t="shared" si="4"/>
        <v>工作日</v>
      </c>
    </row>
    <row r="268" spans="5:6">
      <c r="E268" s="21">
        <v>44097</v>
      </c>
      <c r="F268" s="20" t="str">
        <f t="shared" si="4"/>
        <v>工作日</v>
      </c>
    </row>
    <row r="269" spans="5:6">
      <c r="E269" s="21">
        <v>44098</v>
      </c>
      <c r="F269" s="20" t="str">
        <f t="shared" si="4"/>
        <v>工作日</v>
      </c>
    </row>
    <row r="270" spans="5:6">
      <c r="E270" s="21">
        <v>44099</v>
      </c>
      <c r="F270" s="20" t="str">
        <f t="shared" si="4"/>
        <v>工作日</v>
      </c>
    </row>
    <row r="271" spans="5:6">
      <c r="E271" s="21">
        <v>44100</v>
      </c>
      <c r="F271" s="20" t="str">
        <f t="shared" si="4"/>
        <v>休息日</v>
      </c>
    </row>
    <row r="272" spans="5:6">
      <c r="E272" s="21">
        <v>44101</v>
      </c>
      <c r="F272" s="20" t="str">
        <f t="shared" si="4"/>
        <v>工作日</v>
      </c>
    </row>
    <row r="273" spans="5:6">
      <c r="E273" s="21">
        <v>44102</v>
      </c>
      <c r="F273" s="20" t="str">
        <f t="shared" si="4"/>
        <v>工作日</v>
      </c>
    </row>
    <row r="274" spans="5:6">
      <c r="E274" s="21">
        <v>44103</v>
      </c>
      <c r="F274" s="20" t="str">
        <f t="shared" si="4"/>
        <v>工作日</v>
      </c>
    </row>
    <row r="275" spans="5:6">
      <c r="E275" s="21">
        <v>44104</v>
      </c>
      <c r="F275" s="20" t="str">
        <f t="shared" si="4"/>
        <v>工作日</v>
      </c>
    </row>
    <row r="276" spans="5:6">
      <c r="E276" s="21">
        <v>44105</v>
      </c>
      <c r="F276" s="20" t="str">
        <f t="shared" si="4"/>
        <v>节假日</v>
      </c>
    </row>
    <row r="277" spans="5:6">
      <c r="E277" s="21">
        <v>44106</v>
      </c>
      <c r="F277" s="20" t="str">
        <f t="shared" si="4"/>
        <v>节假日</v>
      </c>
    </row>
    <row r="278" spans="5:6">
      <c r="E278" s="21">
        <v>44107</v>
      </c>
      <c r="F278" s="20" t="str">
        <f t="shared" si="4"/>
        <v>节假日</v>
      </c>
    </row>
    <row r="279" spans="5:6">
      <c r="E279" s="21">
        <v>44108</v>
      </c>
      <c r="F279" s="20" t="str">
        <f t="shared" si="4"/>
        <v>节假日</v>
      </c>
    </row>
    <row r="280" spans="5:6">
      <c r="E280" s="21">
        <v>44109</v>
      </c>
      <c r="F280" s="20" t="str">
        <f t="shared" si="4"/>
        <v>节假日</v>
      </c>
    </row>
    <row r="281" spans="5:6">
      <c r="E281" s="21">
        <v>44110</v>
      </c>
      <c r="F281" s="20" t="str">
        <f t="shared" si="4"/>
        <v>节假日</v>
      </c>
    </row>
    <row r="282" spans="5:6">
      <c r="E282" s="21">
        <v>44111</v>
      </c>
      <c r="F282" s="20" t="str">
        <f t="shared" si="4"/>
        <v>节假日</v>
      </c>
    </row>
    <row r="283" spans="5:6">
      <c r="E283" s="21">
        <v>44112</v>
      </c>
      <c r="F283" s="20" t="str">
        <f t="shared" si="4"/>
        <v>节假日</v>
      </c>
    </row>
    <row r="284" spans="5:6">
      <c r="E284" s="21">
        <v>44113</v>
      </c>
      <c r="F284" s="20" t="str">
        <f t="shared" si="4"/>
        <v>工作日</v>
      </c>
    </row>
    <row r="285" spans="5:6">
      <c r="E285" s="21">
        <v>44114</v>
      </c>
      <c r="F285" s="20" t="str">
        <f t="shared" si="4"/>
        <v>工作日</v>
      </c>
    </row>
    <row r="286" spans="5:6">
      <c r="E286" s="21">
        <v>44115</v>
      </c>
      <c r="F286" s="20" t="str">
        <f t="shared" si="4"/>
        <v>休息日</v>
      </c>
    </row>
    <row r="287" spans="5:6">
      <c r="E287" s="21">
        <v>44116</v>
      </c>
      <c r="F287" s="20" t="str">
        <f t="shared" si="4"/>
        <v>工作日</v>
      </c>
    </row>
    <row r="288" spans="5:6">
      <c r="E288" s="21">
        <v>44117</v>
      </c>
      <c r="F288" s="20" t="str">
        <f t="shared" si="4"/>
        <v>工作日</v>
      </c>
    </row>
    <row r="289" spans="5:6">
      <c r="E289" s="21">
        <v>44118</v>
      </c>
      <c r="F289" s="20" t="str">
        <f t="shared" si="4"/>
        <v>工作日</v>
      </c>
    </row>
    <row r="290" spans="5:6">
      <c r="E290" s="21">
        <v>44119</v>
      </c>
      <c r="F290" s="20" t="str">
        <f t="shared" si="4"/>
        <v>工作日</v>
      </c>
    </row>
    <row r="291" spans="5:6">
      <c r="E291" s="21">
        <v>44120</v>
      </c>
      <c r="F291" s="20" t="str">
        <f t="shared" si="4"/>
        <v>工作日</v>
      </c>
    </row>
    <row r="292" spans="5:6">
      <c r="E292" s="21">
        <v>44121</v>
      </c>
      <c r="F292" s="20" t="str">
        <f t="shared" si="4"/>
        <v>休息日</v>
      </c>
    </row>
    <row r="293" spans="5:6">
      <c r="E293" s="21">
        <v>44122</v>
      </c>
      <c r="F293" s="20" t="str">
        <f t="shared" si="4"/>
        <v>休息日</v>
      </c>
    </row>
    <row r="294" spans="5:6">
      <c r="E294" s="21">
        <v>44123</v>
      </c>
      <c r="F294" s="20" t="str">
        <f t="shared" si="4"/>
        <v>工作日</v>
      </c>
    </row>
    <row r="295" spans="5:6">
      <c r="E295" s="21">
        <v>44124</v>
      </c>
      <c r="F295" s="20" t="str">
        <f t="shared" si="4"/>
        <v>工作日</v>
      </c>
    </row>
    <row r="296" spans="5:6">
      <c r="E296" s="21">
        <v>44125</v>
      </c>
      <c r="F296" s="20" t="str">
        <f t="shared" si="4"/>
        <v>工作日</v>
      </c>
    </row>
    <row r="297" spans="5:6">
      <c r="E297" s="21">
        <v>44126</v>
      </c>
      <c r="F297" s="20" t="str">
        <f t="shared" si="4"/>
        <v>工作日</v>
      </c>
    </row>
    <row r="298" spans="5:6">
      <c r="E298" s="21">
        <v>44127</v>
      </c>
      <c r="F298" s="20" t="str">
        <f t="shared" si="4"/>
        <v>工作日</v>
      </c>
    </row>
    <row r="299" spans="5:6">
      <c r="E299" s="21">
        <v>44128</v>
      </c>
      <c r="F299" s="20" t="str">
        <f t="shared" si="4"/>
        <v>休息日</v>
      </c>
    </row>
    <row r="300" spans="5:6">
      <c r="E300" s="21">
        <v>44129</v>
      </c>
      <c r="F300" s="20" t="str">
        <f t="shared" si="4"/>
        <v>休息日</v>
      </c>
    </row>
    <row r="301" spans="5:6">
      <c r="E301" s="21">
        <v>44130</v>
      </c>
      <c r="F301" s="20" t="str">
        <f t="shared" si="4"/>
        <v>工作日</v>
      </c>
    </row>
    <row r="302" spans="5:6">
      <c r="E302" s="21">
        <v>44131</v>
      </c>
      <c r="F302" s="20" t="str">
        <f t="shared" si="4"/>
        <v>工作日</v>
      </c>
    </row>
    <row r="303" spans="5:6">
      <c r="E303" s="21">
        <v>44132</v>
      </c>
      <c r="F303" s="20" t="str">
        <f t="shared" si="4"/>
        <v>工作日</v>
      </c>
    </row>
    <row r="304" spans="5:6">
      <c r="E304" s="21">
        <v>44133</v>
      </c>
      <c r="F304" s="20" t="str">
        <f t="shared" si="4"/>
        <v>工作日</v>
      </c>
    </row>
    <row r="305" spans="5:6">
      <c r="E305" s="21">
        <v>44134</v>
      </c>
      <c r="F305" s="20" t="str">
        <f t="shared" si="4"/>
        <v>工作日</v>
      </c>
    </row>
    <row r="306" spans="5:6">
      <c r="E306" s="21">
        <v>44135</v>
      </c>
      <c r="F306" s="20" t="str">
        <f t="shared" si="4"/>
        <v>休息日</v>
      </c>
    </row>
    <row r="307" spans="5:6">
      <c r="E307" s="21">
        <v>44136</v>
      </c>
      <c r="F307" s="20" t="str">
        <f t="shared" si="4"/>
        <v>休息日</v>
      </c>
    </row>
    <row r="308" spans="5:6">
      <c r="E308" s="21">
        <v>44137</v>
      </c>
      <c r="F308" s="20" t="str">
        <f t="shared" si="4"/>
        <v>工作日</v>
      </c>
    </row>
    <row r="309" spans="5:6">
      <c r="E309" s="21">
        <v>44138</v>
      </c>
      <c r="F309" s="20" t="str">
        <f t="shared" si="4"/>
        <v>工作日</v>
      </c>
    </row>
    <row r="310" spans="5:6">
      <c r="E310" s="21">
        <v>44139</v>
      </c>
      <c r="F310" s="20" t="str">
        <f t="shared" si="4"/>
        <v>工作日</v>
      </c>
    </row>
    <row r="311" spans="5:6">
      <c r="E311" s="21">
        <v>44140</v>
      </c>
      <c r="F311" s="20" t="str">
        <f t="shared" si="4"/>
        <v>工作日</v>
      </c>
    </row>
    <row r="312" spans="5:6">
      <c r="E312" s="21">
        <v>44141</v>
      </c>
      <c r="F312" s="20" t="str">
        <f t="shared" si="4"/>
        <v>工作日</v>
      </c>
    </row>
    <row r="313" spans="5:6">
      <c r="E313" s="21">
        <v>44142</v>
      </c>
      <c r="F313" s="20" t="str">
        <f t="shared" si="4"/>
        <v>休息日</v>
      </c>
    </row>
    <row r="314" spans="5:6">
      <c r="E314" s="21">
        <v>44143</v>
      </c>
      <c r="F314" s="20" t="str">
        <f t="shared" si="4"/>
        <v>休息日</v>
      </c>
    </row>
    <row r="315" spans="5:6">
      <c r="E315" s="21">
        <v>44144</v>
      </c>
      <c r="F315" s="20" t="str">
        <f t="shared" si="4"/>
        <v>工作日</v>
      </c>
    </row>
    <row r="316" spans="5:6">
      <c r="E316" s="21">
        <v>44145</v>
      </c>
      <c r="F316" s="20" t="str">
        <f t="shared" si="4"/>
        <v>工作日</v>
      </c>
    </row>
    <row r="317" spans="5:6">
      <c r="E317" s="21">
        <v>44146</v>
      </c>
      <c r="F317" s="20" t="str">
        <f t="shared" si="4"/>
        <v>工作日</v>
      </c>
    </row>
    <row r="318" spans="5:6">
      <c r="E318" s="21">
        <v>44147</v>
      </c>
      <c r="F318" s="20" t="str">
        <f t="shared" si="4"/>
        <v>工作日</v>
      </c>
    </row>
    <row r="319" spans="5:6">
      <c r="E319" s="21">
        <v>44148</v>
      </c>
      <c r="F319" s="20" t="str">
        <f t="shared" si="4"/>
        <v>工作日</v>
      </c>
    </row>
    <row r="320" spans="5:6">
      <c r="E320" s="21">
        <v>44149</v>
      </c>
      <c r="F320" s="20" t="str">
        <f t="shared" si="4"/>
        <v>休息日</v>
      </c>
    </row>
    <row r="321" spans="5:6">
      <c r="E321" s="21">
        <v>44150</v>
      </c>
      <c r="F321" s="20" t="str">
        <f t="shared" si="4"/>
        <v>休息日</v>
      </c>
    </row>
    <row r="322" spans="5:6">
      <c r="E322" s="21">
        <v>44151</v>
      </c>
      <c r="F322" s="20" t="str">
        <f t="shared" si="4"/>
        <v>工作日</v>
      </c>
    </row>
    <row r="323" spans="5:6">
      <c r="E323" s="21">
        <v>44152</v>
      </c>
      <c r="F323" s="20" t="str">
        <f t="shared" ref="F323:F386" si="5">IF(COUNTIF(B:B,E323)&gt;=1,"节假日",IF(WEEKDAY(E323,2)&gt;=6,IF(COUNTIF(C:C,E323)=0,"休息日","工作日"),"工作日"))</f>
        <v>工作日</v>
      </c>
    </row>
    <row r="324" spans="5:6">
      <c r="E324" s="21">
        <v>44153</v>
      </c>
      <c r="F324" s="20" t="str">
        <f t="shared" si="5"/>
        <v>工作日</v>
      </c>
    </row>
    <row r="325" spans="5:6">
      <c r="E325" s="21">
        <v>44154</v>
      </c>
      <c r="F325" s="20" t="str">
        <f t="shared" si="5"/>
        <v>工作日</v>
      </c>
    </row>
    <row r="326" spans="5:6">
      <c r="E326" s="21">
        <v>44155</v>
      </c>
      <c r="F326" s="20" t="str">
        <f t="shared" si="5"/>
        <v>工作日</v>
      </c>
    </row>
    <row r="327" spans="5:6">
      <c r="E327" s="21">
        <v>44156</v>
      </c>
      <c r="F327" s="20" t="str">
        <f t="shared" si="5"/>
        <v>休息日</v>
      </c>
    </row>
    <row r="328" spans="5:6">
      <c r="E328" s="21">
        <v>44157</v>
      </c>
      <c r="F328" s="20" t="str">
        <f t="shared" si="5"/>
        <v>休息日</v>
      </c>
    </row>
    <row r="329" spans="5:6">
      <c r="E329" s="21">
        <v>44158</v>
      </c>
      <c r="F329" s="20" t="str">
        <f t="shared" si="5"/>
        <v>工作日</v>
      </c>
    </row>
    <row r="330" spans="5:6">
      <c r="E330" s="21">
        <v>44159</v>
      </c>
      <c r="F330" s="20" t="str">
        <f t="shared" si="5"/>
        <v>工作日</v>
      </c>
    </row>
    <row r="331" spans="5:6">
      <c r="E331" s="21">
        <v>44160</v>
      </c>
      <c r="F331" s="20" t="str">
        <f t="shared" si="5"/>
        <v>工作日</v>
      </c>
    </row>
    <row r="332" spans="5:6">
      <c r="E332" s="21">
        <v>44161</v>
      </c>
      <c r="F332" s="20" t="str">
        <f t="shared" si="5"/>
        <v>工作日</v>
      </c>
    </row>
    <row r="333" spans="5:6">
      <c r="E333" s="21">
        <v>44162</v>
      </c>
      <c r="F333" s="20" t="str">
        <f t="shared" si="5"/>
        <v>工作日</v>
      </c>
    </row>
    <row r="334" spans="5:6">
      <c r="E334" s="21">
        <v>44163</v>
      </c>
      <c r="F334" s="20" t="str">
        <f t="shared" si="5"/>
        <v>休息日</v>
      </c>
    </row>
    <row r="335" spans="5:6">
      <c r="E335" s="21">
        <v>44164</v>
      </c>
      <c r="F335" s="20" t="str">
        <f t="shared" si="5"/>
        <v>休息日</v>
      </c>
    </row>
    <row r="336" spans="5:6">
      <c r="E336" s="21">
        <v>44165</v>
      </c>
      <c r="F336" s="20" t="str">
        <f t="shared" si="5"/>
        <v>工作日</v>
      </c>
    </row>
    <row r="337" spans="5:6">
      <c r="E337" s="21">
        <v>44166</v>
      </c>
      <c r="F337" s="20" t="str">
        <f t="shared" si="5"/>
        <v>工作日</v>
      </c>
    </row>
    <row r="338" spans="5:6">
      <c r="E338" s="21">
        <v>44167</v>
      </c>
      <c r="F338" s="20" t="str">
        <f t="shared" si="5"/>
        <v>工作日</v>
      </c>
    </row>
    <row r="339" spans="5:6">
      <c r="E339" s="21">
        <v>44168</v>
      </c>
      <c r="F339" s="20" t="str">
        <f t="shared" si="5"/>
        <v>工作日</v>
      </c>
    </row>
    <row r="340" spans="5:6">
      <c r="E340" s="21">
        <v>44169</v>
      </c>
      <c r="F340" s="20" t="str">
        <f t="shared" si="5"/>
        <v>工作日</v>
      </c>
    </row>
    <row r="341" spans="5:6">
      <c r="E341" s="21">
        <v>44170</v>
      </c>
      <c r="F341" s="20" t="str">
        <f t="shared" si="5"/>
        <v>休息日</v>
      </c>
    </row>
    <row r="342" spans="5:6">
      <c r="E342" s="21">
        <v>44171</v>
      </c>
      <c r="F342" s="20" t="str">
        <f t="shared" si="5"/>
        <v>休息日</v>
      </c>
    </row>
    <row r="343" spans="5:6">
      <c r="E343" s="21">
        <v>44172</v>
      </c>
      <c r="F343" s="20" t="str">
        <f t="shared" si="5"/>
        <v>工作日</v>
      </c>
    </row>
    <row r="344" spans="5:6">
      <c r="E344" s="21">
        <v>44173</v>
      </c>
      <c r="F344" s="20" t="str">
        <f t="shared" si="5"/>
        <v>工作日</v>
      </c>
    </row>
    <row r="345" spans="5:6">
      <c r="E345" s="21">
        <v>44174</v>
      </c>
      <c r="F345" s="20" t="str">
        <f t="shared" si="5"/>
        <v>工作日</v>
      </c>
    </row>
    <row r="346" spans="5:6">
      <c r="E346" s="21">
        <v>44175</v>
      </c>
      <c r="F346" s="20" t="str">
        <f t="shared" si="5"/>
        <v>工作日</v>
      </c>
    </row>
    <row r="347" spans="5:6">
      <c r="E347" s="21">
        <v>44176</v>
      </c>
      <c r="F347" s="20" t="str">
        <f t="shared" si="5"/>
        <v>工作日</v>
      </c>
    </row>
    <row r="348" spans="5:6">
      <c r="E348" s="21">
        <v>44177</v>
      </c>
      <c r="F348" s="20" t="str">
        <f t="shared" si="5"/>
        <v>休息日</v>
      </c>
    </row>
    <row r="349" spans="5:6">
      <c r="E349" s="21">
        <v>44178</v>
      </c>
      <c r="F349" s="20" t="str">
        <f t="shared" si="5"/>
        <v>休息日</v>
      </c>
    </row>
    <row r="350" spans="5:6">
      <c r="E350" s="21">
        <v>44179</v>
      </c>
      <c r="F350" s="20" t="str">
        <f t="shared" si="5"/>
        <v>工作日</v>
      </c>
    </row>
    <row r="351" spans="5:6">
      <c r="E351" s="21">
        <v>44180</v>
      </c>
      <c r="F351" s="20" t="str">
        <f t="shared" si="5"/>
        <v>工作日</v>
      </c>
    </row>
    <row r="352" spans="5:6">
      <c r="E352" s="21">
        <v>44181</v>
      </c>
      <c r="F352" s="20" t="str">
        <f t="shared" si="5"/>
        <v>工作日</v>
      </c>
    </row>
    <row r="353" spans="5:6">
      <c r="E353" s="21">
        <v>44182</v>
      </c>
      <c r="F353" s="20" t="str">
        <f t="shared" si="5"/>
        <v>工作日</v>
      </c>
    </row>
    <row r="354" spans="5:6">
      <c r="E354" s="21">
        <v>44183</v>
      </c>
      <c r="F354" s="20" t="str">
        <f t="shared" si="5"/>
        <v>工作日</v>
      </c>
    </row>
    <row r="355" spans="5:6">
      <c r="E355" s="21">
        <v>44184</v>
      </c>
      <c r="F355" s="20" t="str">
        <f t="shared" si="5"/>
        <v>休息日</v>
      </c>
    </row>
    <row r="356" spans="5:6">
      <c r="E356" s="21">
        <v>44185</v>
      </c>
      <c r="F356" s="20" t="str">
        <f t="shared" si="5"/>
        <v>休息日</v>
      </c>
    </row>
    <row r="357" spans="5:6">
      <c r="E357" s="21">
        <v>44186</v>
      </c>
      <c r="F357" s="20" t="str">
        <f t="shared" si="5"/>
        <v>工作日</v>
      </c>
    </row>
    <row r="358" spans="5:6">
      <c r="E358" s="21">
        <v>44187</v>
      </c>
      <c r="F358" s="20" t="str">
        <f t="shared" si="5"/>
        <v>工作日</v>
      </c>
    </row>
    <row r="359" spans="5:6">
      <c r="E359" s="21">
        <v>44188</v>
      </c>
      <c r="F359" s="20" t="str">
        <f t="shared" si="5"/>
        <v>工作日</v>
      </c>
    </row>
    <row r="360" spans="5:6">
      <c r="E360" s="21">
        <v>44189</v>
      </c>
      <c r="F360" s="20" t="str">
        <f t="shared" si="5"/>
        <v>工作日</v>
      </c>
    </row>
    <row r="361" spans="5:6">
      <c r="E361" s="21">
        <v>44190</v>
      </c>
      <c r="F361" s="20" t="str">
        <f t="shared" si="5"/>
        <v>工作日</v>
      </c>
    </row>
    <row r="362" spans="5:6">
      <c r="E362" s="21">
        <v>44191</v>
      </c>
      <c r="F362" s="20" t="str">
        <f t="shared" si="5"/>
        <v>休息日</v>
      </c>
    </row>
    <row r="363" spans="5:6">
      <c r="E363" s="21">
        <v>44192</v>
      </c>
      <c r="F363" s="20" t="str">
        <f t="shared" si="5"/>
        <v>休息日</v>
      </c>
    </row>
    <row r="364" spans="5:6">
      <c r="E364" s="21">
        <v>44193</v>
      </c>
      <c r="F364" s="20" t="str">
        <f t="shared" si="5"/>
        <v>工作日</v>
      </c>
    </row>
    <row r="365" spans="5:6">
      <c r="E365" s="21">
        <v>44194</v>
      </c>
      <c r="F365" s="20" t="str">
        <f t="shared" si="5"/>
        <v>工作日</v>
      </c>
    </row>
    <row r="366" spans="5:6">
      <c r="E366" s="21">
        <v>44195</v>
      </c>
      <c r="F366" s="20" t="str">
        <f t="shared" si="5"/>
        <v>工作日</v>
      </c>
    </row>
    <row r="367" spans="5:6">
      <c r="E367" s="21">
        <v>44196</v>
      </c>
      <c r="F367" s="20" t="str">
        <f t="shared" si="5"/>
        <v>工作日</v>
      </c>
    </row>
    <row r="368" spans="5:6">
      <c r="E368" s="21">
        <v>44197</v>
      </c>
      <c r="F368" s="20" t="str">
        <f t="shared" si="5"/>
        <v>节假日</v>
      </c>
    </row>
    <row r="369" spans="5:6">
      <c r="E369" s="21">
        <v>44198</v>
      </c>
      <c r="F369" s="20" t="str">
        <f t="shared" si="5"/>
        <v>节假日</v>
      </c>
    </row>
    <row r="370" spans="5:6">
      <c r="E370" s="21">
        <v>44199</v>
      </c>
      <c r="F370" s="20" t="str">
        <f t="shared" si="5"/>
        <v>节假日</v>
      </c>
    </row>
    <row r="371" spans="5:6">
      <c r="E371" s="21">
        <v>44200</v>
      </c>
      <c r="F371" s="20" t="str">
        <f t="shared" si="5"/>
        <v>工作日</v>
      </c>
    </row>
    <row r="372" spans="5:6">
      <c r="E372" s="21">
        <v>44201</v>
      </c>
      <c r="F372" s="20" t="str">
        <f t="shared" si="5"/>
        <v>工作日</v>
      </c>
    </row>
    <row r="373" spans="5:6">
      <c r="E373" s="21">
        <v>44202</v>
      </c>
      <c r="F373" s="20" t="str">
        <f t="shared" si="5"/>
        <v>工作日</v>
      </c>
    </row>
    <row r="374" spans="5:6">
      <c r="E374" s="21">
        <v>44203</v>
      </c>
      <c r="F374" s="20" t="str">
        <f t="shared" si="5"/>
        <v>工作日</v>
      </c>
    </row>
    <row r="375" spans="5:6">
      <c r="E375" s="21">
        <v>44204</v>
      </c>
      <c r="F375" s="20" t="str">
        <f t="shared" si="5"/>
        <v>工作日</v>
      </c>
    </row>
    <row r="376" spans="5:6">
      <c r="E376" s="21">
        <v>44205</v>
      </c>
      <c r="F376" s="20" t="str">
        <f t="shared" si="5"/>
        <v>休息日</v>
      </c>
    </row>
    <row r="377" spans="5:6">
      <c r="E377" s="21">
        <v>44206</v>
      </c>
      <c r="F377" s="20" t="str">
        <f t="shared" si="5"/>
        <v>休息日</v>
      </c>
    </row>
    <row r="378" spans="5:6">
      <c r="E378" s="21">
        <v>44207</v>
      </c>
      <c r="F378" s="20" t="str">
        <f t="shared" si="5"/>
        <v>工作日</v>
      </c>
    </row>
    <row r="379" spans="5:6">
      <c r="E379" s="21">
        <v>44208</v>
      </c>
      <c r="F379" s="20" t="str">
        <f t="shared" si="5"/>
        <v>工作日</v>
      </c>
    </row>
    <row r="380" spans="5:6">
      <c r="E380" s="21">
        <v>44209</v>
      </c>
      <c r="F380" s="20" t="str">
        <f t="shared" si="5"/>
        <v>工作日</v>
      </c>
    </row>
    <row r="381" spans="5:6">
      <c r="E381" s="21">
        <v>44210</v>
      </c>
      <c r="F381" s="20" t="str">
        <f t="shared" si="5"/>
        <v>工作日</v>
      </c>
    </row>
    <row r="382" spans="5:6">
      <c r="E382" s="21">
        <v>44211</v>
      </c>
      <c r="F382" s="20" t="str">
        <f t="shared" si="5"/>
        <v>工作日</v>
      </c>
    </row>
    <row r="383" spans="5:6">
      <c r="E383" s="21">
        <v>44212</v>
      </c>
      <c r="F383" s="20" t="str">
        <f t="shared" si="5"/>
        <v>休息日</v>
      </c>
    </row>
    <row r="384" spans="5:6">
      <c r="E384" s="21">
        <v>44213</v>
      </c>
      <c r="F384" s="20" t="str">
        <f t="shared" si="5"/>
        <v>休息日</v>
      </c>
    </row>
    <row r="385" spans="5:6">
      <c r="E385" s="21">
        <v>44214</v>
      </c>
      <c r="F385" s="20" t="str">
        <f t="shared" si="5"/>
        <v>工作日</v>
      </c>
    </row>
    <row r="386" spans="5:6">
      <c r="E386" s="21">
        <v>44215</v>
      </c>
      <c r="F386" s="20" t="str">
        <f t="shared" si="5"/>
        <v>工作日</v>
      </c>
    </row>
    <row r="387" spans="5:6">
      <c r="E387" s="21">
        <v>44216</v>
      </c>
      <c r="F387" s="20" t="str">
        <f t="shared" ref="F387:F450" si="6">IF(COUNTIF(B:B,E387)&gt;=1,"节假日",IF(WEEKDAY(E387,2)&gt;=6,IF(COUNTIF(C:C,E387)=0,"休息日","工作日"),"工作日"))</f>
        <v>工作日</v>
      </c>
    </row>
    <row r="388" spans="5:6">
      <c r="E388" s="21">
        <v>44217</v>
      </c>
      <c r="F388" s="20" t="str">
        <f t="shared" si="6"/>
        <v>工作日</v>
      </c>
    </row>
    <row r="389" spans="5:6">
      <c r="E389" s="21">
        <v>44218</v>
      </c>
      <c r="F389" s="20" t="str">
        <f t="shared" si="6"/>
        <v>工作日</v>
      </c>
    </row>
    <row r="390" spans="5:6">
      <c r="E390" s="21">
        <v>44219</v>
      </c>
      <c r="F390" s="20" t="str">
        <f t="shared" si="6"/>
        <v>休息日</v>
      </c>
    </row>
    <row r="391" spans="5:6">
      <c r="E391" s="21">
        <v>44220</v>
      </c>
      <c r="F391" s="20" t="str">
        <f t="shared" si="6"/>
        <v>休息日</v>
      </c>
    </row>
    <row r="392" spans="5:6">
      <c r="E392" s="21">
        <v>44221</v>
      </c>
      <c r="F392" s="20" t="str">
        <f t="shared" si="6"/>
        <v>工作日</v>
      </c>
    </row>
    <row r="393" spans="5:6">
      <c r="E393" s="21">
        <v>44222</v>
      </c>
      <c r="F393" s="20" t="str">
        <f t="shared" si="6"/>
        <v>工作日</v>
      </c>
    </row>
    <row r="394" spans="5:6">
      <c r="E394" s="21">
        <v>44223</v>
      </c>
      <c r="F394" s="20" t="str">
        <f t="shared" si="6"/>
        <v>工作日</v>
      </c>
    </row>
    <row r="395" spans="5:6">
      <c r="E395" s="21">
        <v>44224</v>
      </c>
      <c r="F395" s="20" t="str">
        <f t="shared" si="6"/>
        <v>工作日</v>
      </c>
    </row>
    <row r="396" spans="5:6">
      <c r="E396" s="21">
        <v>44225</v>
      </c>
      <c r="F396" s="20" t="str">
        <f t="shared" si="6"/>
        <v>工作日</v>
      </c>
    </row>
    <row r="397" spans="5:6">
      <c r="E397" s="21">
        <v>44226</v>
      </c>
      <c r="F397" s="20" t="str">
        <f t="shared" si="6"/>
        <v>休息日</v>
      </c>
    </row>
    <row r="398" spans="5:6">
      <c r="E398" s="21">
        <v>44227</v>
      </c>
      <c r="F398" s="20" t="str">
        <f t="shared" si="6"/>
        <v>休息日</v>
      </c>
    </row>
    <row r="399" spans="5:6">
      <c r="E399" s="21">
        <v>44228</v>
      </c>
      <c r="F399" s="20" t="str">
        <f t="shared" si="6"/>
        <v>工作日</v>
      </c>
    </row>
    <row r="400" spans="5:6">
      <c r="E400" s="21">
        <v>44229</v>
      </c>
      <c r="F400" s="20" t="str">
        <f t="shared" si="6"/>
        <v>工作日</v>
      </c>
    </row>
    <row r="401" spans="5:6">
      <c r="E401" s="21">
        <v>44230</v>
      </c>
      <c r="F401" s="20" t="str">
        <f t="shared" si="6"/>
        <v>工作日</v>
      </c>
    </row>
    <row r="402" spans="5:6">
      <c r="E402" s="21">
        <v>44231</v>
      </c>
      <c r="F402" s="20" t="str">
        <f t="shared" si="6"/>
        <v>工作日</v>
      </c>
    </row>
    <row r="403" spans="5:6">
      <c r="E403" s="21">
        <v>44232</v>
      </c>
      <c r="F403" s="20" t="str">
        <f t="shared" si="6"/>
        <v>工作日</v>
      </c>
    </row>
    <row r="404" spans="5:6">
      <c r="E404" s="21">
        <v>44233</v>
      </c>
      <c r="F404" s="20" t="str">
        <f t="shared" si="6"/>
        <v>休息日</v>
      </c>
    </row>
    <row r="405" spans="5:6">
      <c r="E405" s="21">
        <v>44234</v>
      </c>
      <c r="F405" s="20" t="str">
        <f t="shared" si="6"/>
        <v>工作日</v>
      </c>
    </row>
    <row r="406" spans="5:6">
      <c r="E406" s="21">
        <v>44235</v>
      </c>
      <c r="F406" s="20" t="str">
        <f t="shared" si="6"/>
        <v>工作日</v>
      </c>
    </row>
    <row r="407" spans="5:6">
      <c r="E407" s="21">
        <v>44236</v>
      </c>
      <c r="F407" s="20" t="str">
        <f t="shared" si="6"/>
        <v>工作日</v>
      </c>
    </row>
    <row r="408" spans="5:6">
      <c r="E408" s="21">
        <v>44237</v>
      </c>
      <c r="F408" s="20" t="str">
        <f t="shared" si="6"/>
        <v>工作日</v>
      </c>
    </row>
    <row r="409" spans="5:6">
      <c r="E409" s="21">
        <v>44238</v>
      </c>
      <c r="F409" s="20" t="str">
        <f t="shared" si="6"/>
        <v>节假日</v>
      </c>
    </row>
    <row r="410" spans="5:6">
      <c r="E410" s="21">
        <v>44239</v>
      </c>
      <c r="F410" s="20" t="str">
        <f t="shared" si="6"/>
        <v>节假日</v>
      </c>
    </row>
    <row r="411" spans="5:6">
      <c r="E411" s="21">
        <v>44240</v>
      </c>
      <c r="F411" s="20" t="str">
        <f t="shared" si="6"/>
        <v>节假日</v>
      </c>
    </row>
    <row r="412" spans="5:6">
      <c r="E412" s="21">
        <v>44241</v>
      </c>
      <c r="F412" s="20" t="str">
        <f t="shared" si="6"/>
        <v>节假日</v>
      </c>
    </row>
    <row r="413" spans="5:6">
      <c r="E413" s="21">
        <v>44242</v>
      </c>
      <c r="F413" s="20" t="str">
        <f t="shared" si="6"/>
        <v>节假日</v>
      </c>
    </row>
    <row r="414" spans="5:6">
      <c r="E414" s="21">
        <v>44243</v>
      </c>
      <c r="F414" s="20" t="str">
        <f t="shared" si="6"/>
        <v>节假日</v>
      </c>
    </row>
    <row r="415" spans="5:6">
      <c r="E415" s="21">
        <v>44244</v>
      </c>
      <c r="F415" s="20" t="str">
        <f t="shared" si="6"/>
        <v>节假日</v>
      </c>
    </row>
    <row r="416" spans="5:6">
      <c r="E416" s="21">
        <v>44245</v>
      </c>
      <c r="F416" s="20" t="str">
        <f t="shared" si="6"/>
        <v>工作日</v>
      </c>
    </row>
    <row r="417" spans="5:6">
      <c r="E417" s="21">
        <v>44246</v>
      </c>
      <c r="F417" s="20" t="str">
        <f t="shared" si="6"/>
        <v>工作日</v>
      </c>
    </row>
    <row r="418" spans="5:6">
      <c r="E418" s="21">
        <v>44247</v>
      </c>
      <c r="F418" s="20" t="str">
        <f t="shared" si="6"/>
        <v>工作日</v>
      </c>
    </row>
    <row r="419" spans="5:6">
      <c r="E419" s="21">
        <v>44248</v>
      </c>
      <c r="F419" s="20" t="str">
        <f t="shared" si="6"/>
        <v>休息日</v>
      </c>
    </row>
    <row r="420" spans="5:6">
      <c r="E420" s="21">
        <v>44249</v>
      </c>
      <c r="F420" s="20" t="str">
        <f t="shared" si="6"/>
        <v>工作日</v>
      </c>
    </row>
    <row r="421" spans="5:6">
      <c r="E421" s="21">
        <v>44250</v>
      </c>
      <c r="F421" s="20" t="str">
        <f t="shared" si="6"/>
        <v>工作日</v>
      </c>
    </row>
    <row r="422" spans="5:6">
      <c r="E422" s="21">
        <v>44251</v>
      </c>
      <c r="F422" s="20" t="str">
        <f t="shared" si="6"/>
        <v>工作日</v>
      </c>
    </row>
    <row r="423" spans="5:6">
      <c r="E423" s="21">
        <v>44252</v>
      </c>
      <c r="F423" s="20" t="str">
        <f t="shared" si="6"/>
        <v>工作日</v>
      </c>
    </row>
    <row r="424" spans="5:6">
      <c r="E424" s="21">
        <v>44253</v>
      </c>
      <c r="F424" s="20" t="str">
        <f t="shared" si="6"/>
        <v>工作日</v>
      </c>
    </row>
    <row r="425" spans="5:6">
      <c r="E425" s="21">
        <v>44254</v>
      </c>
      <c r="F425" s="20" t="str">
        <f t="shared" si="6"/>
        <v>休息日</v>
      </c>
    </row>
    <row r="426" spans="5:6">
      <c r="E426" s="21">
        <v>44255</v>
      </c>
      <c r="F426" s="20" t="str">
        <f t="shared" si="6"/>
        <v>休息日</v>
      </c>
    </row>
    <row r="427" spans="5:6">
      <c r="E427" s="21">
        <v>44256</v>
      </c>
      <c r="F427" s="20" t="str">
        <f t="shared" si="6"/>
        <v>工作日</v>
      </c>
    </row>
    <row r="428" spans="5:6">
      <c r="E428" s="21">
        <v>44257</v>
      </c>
      <c r="F428" s="20" t="str">
        <f t="shared" si="6"/>
        <v>工作日</v>
      </c>
    </row>
    <row r="429" spans="5:6">
      <c r="E429" s="21">
        <v>44258</v>
      </c>
      <c r="F429" s="20" t="str">
        <f t="shared" si="6"/>
        <v>工作日</v>
      </c>
    </row>
    <row r="430" spans="5:6">
      <c r="E430" s="21">
        <v>44259</v>
      </c>
      <c r="F430" s="20" t="str">
        <f t="shared" si="6"/>
        <v>工作日</v>
      </c>
    </row>
    <row r="431" spans="5:6">
      <c r="E431" s="21">
        <v>44260</v>
      </c>
      <c r="F431" s="20" t="str">
        <f t="shared" si="6"/>
        <v>工作日</v>
      </c>
    </row>
    <row r="432" spans="5:6">
      <c r="E432" s="21">
        <v>44261</v>
      </c>
      <c r="F432" s="20" t="str">
        <f t="shared" si="6"/>
        <v>休息日</v>
      </c>
    </row>
    <row r="433" spans="5:6">
      <c r="E433" s="21">
        <v>44262</v>
      </c>
      <c r="F433" s="20" t="str">
        <f t="shared" si="6"/>
        <v>休息日</v>
      </c>
    </row>
    <row r="434" spans="5:6">
      <c r="E434" s="21">
        <v>44263</v>
      </c>
      <c r="F434" s="20" t="str">
        <f t="shared" si="6"/>
        <v>工作日</v>
      </c>
    </row>
    <row r="435" spans="5:6">
      <c r="E435" s="21">
        <v>44264</v>
      </c>
      <c r="F435" s="20" t="str">
        <f t="shared" si="6"/>
        <v>工作日</v>
      </c>
    </row>
    <row r="436" spans="5:6">
      <c r="E436" s="21">
        <v>44265</v>
      </c>
      <c r="F436" s="20" t="str">
        <f t="shared" si="6"/>
        <v>工作日</v>
      </c>
    </row>
    <row r="437" spans="5:6">
      <c r="E437" s="21">
        <v>44266</v>
      </c>
      <c r="F437" s="20" t="str">
        <f t="shared" si="6"/>
        <v>工作日</v>
      </c>
    </row>
    <row r="438" spans="5:6">
      <c r="E438" s="21">
        <v>44267</v>
      </c>
      <c r="F438" s="20" t="str">
        <f t="shared" si="6"/>
        <v>工作日</v>
      </c>
    </row>
    <row r="439" spans="5:6">
      <c r="E439" s="21">
        <v>44268</v>
      </c>
      <c r="F439" s="20" t="str">
        <f t="shared" si="6"/>
        <v>休息日</v>
      </c>
    </row>
    <row r="440" spans="5:6">
      <c r="E440" s="21">
        <v>44269</v>
      </c>
      <c r="F440" s="20" t="str">
        <f t="shared" si="6"/>
        <v>休息日</v>
      </c>
    </row>
    <row r="441" spans="5:6">
      <c r="E441" s="21">
        <v>44270</v>
      </c>
      <c r="F441" s="20" t="str">
        <f t="shared" si="6"/>
        <v>工作日</v>
      </c>
    </row>
    <row r="442" spans="5:6">
      <c r="E442" s="21">
        <v>44271</v>
      </c>
      <c r="F442" s="20" t="str">
        <f t="shared" si="6"/>
        <v>工作日</v>
      </c>
    </row>
    <row r="443" spans="5:6">
      <c r="E443" s="21">
        <v>44272</v>
      </c>
      <c r="F443" s="20" t="str">
        <f t="shared" si="6"/>
        <v>工作日</v>
      </c>
    </row>
    <row r="444" spans="5:6">
      <c r="E444" s="21">
        <v>44273</v>
      </c>
      <c r="F444" s="20" t="str">
        <f t="shared" si="6"/>
        <v>工作日</v>
      </c>
    </row>
    <row r="445" spans="5:6">
      <c r="E445" s="21">
        <v>44274</v>
      </c>
      <c r="F445" s="20" t="str">
        <f t="shared" si="6"/>
        <v>工作日</v>
      </c>
    </row>
    <row r="446" spans="5:6">
      <c r="E446" s="21">
        <v>44275</v>
      </c>
      <c r="F446" s="20" t="str">
        <f t="shared" si="6"/>
        <v>休息日</v>
      </c>
    </row>
    <row r="447" spans="5:6">
      <c r="E447" s="21">
        <v>44276</v>
      </c>
      <c r="F447" s="20" t="str">
        <f t="shared" si="6"/>
        <v>休息日</v>
      </c>
    </row>
    <row r="448" spans="5:6">
      <c r="E448" s="21">
        <v>44277</v>
      </c>
      <c r="F448" s="20" t="str">
        <f t="shared" si="6"/>
        <v>工作日</v>
      </c>
    </row>
    <row r="449" spans="5:6">
      <c r="E449" s="21">
        <v>44278</v>
      </c>
      <c r="F449" s="20" t="str">
        <f t="shared" si="6"/>
        <v>工作日</v>
      </c>
    </row>
    <row r="450" spans="5:6">
      <c r="E450" s="21">
        <v>44279</v>
      </c>
      <c r="F450" s="20" t="str">
        <f t="shared" si="6"/>
        <v>工作日</v>
      </c>
    </row>
    <row r="451" spans="5:6">
      <c r="E451" s="21">
        <v>44280</v>
      </c>
      <c r="F451" s="20" t="str">
        <f t="shared" ref="F451:F514" si="7">IF(COUNTIF(B:B,E451)&gt;=1,"节假日",IF(WEEKDAY(E451,2)&gt;=6,IF(COUNTIF(C:C,E451)=0,"休息日","工作日"),"工作日"))</f>
        <v>工作日</v>
      </c>
    </row>
    <row r="452" spans="5:6">
      <c r="E452" s="21">
        <v>44281</v>
      </c>
      <c r="F452" s="20" t="str">
        <f t="shared" si="7"/>
        <v>工作日</v>
      </c>
    </row>
    <row r="453" spans="5:6">
      <c r="E453" s="21">
        <v>44282</v>
      </c>
      <c r="F453" s="20" t="str">
        <f t="shared" si="7"/>
        <v>休息日</v>
      </c>
    </row>
    <row r="454" spans="5:6">
      <c r="E454" s="21">
        <v>44283</v>
      </c>
      <c r="F454" s="20" t="str">
        <f t="shared" si="7"/>
        <v>休息日</v>
      </c>
    </row>
    <row r="455" spans="5:6">
      <c r="E455" s="21">
        <v>44284</v>
      </c>
      <c r="F455" s="20" t="str">
        <f t="shared" si="7"/>
        <v>工作日</v>
      </c>
    </row>
    <row r="456" spans="5:6">
      <c r="E456" s="21">
        <v>44285</v>
      </c>
      <c r="F456" s="20" t="str">
        <f t="shared" si="7"/>
        <v>工作日</v>
      </c>
    </row>
    <row r="457" spans="5:6">
      <c r="E457" s="21">
        <v>44286</v>
      </c>
      <c r="F457" s="20" t="str">
        <f t="shared" si="7"/>
        <v>工作日</v>
      </c>
    </row>
    <row r="458" spans="5:6">
      <c r="E458" s="21">
        <v>44287</v>
      </c>
      <c r="F458" s="20" t="str">
        <f t="shared" si="7"/>
        <v>工作日</v>
      </c>
    </row>
    <row r="459" spans="5:6">
      <c r="E459" s="21">
        <v>44288</v>
      </c>
      <c r="F459" s="20" t="str">
        <f t="shared" si="7"/>
        <v>工作日</v>
      </c>
    </row>
    <row r="460" spans="5:6">
      <c r="E460" s="21">
        <v>44289</v>
      </c>
      <c r="F460" s="20" t="str">
        <f t="shared" si="7"/>
        <v>节假日</v>
      </c>
    </row>
    <row r="461" spans="5:6">
      <c r="E461" s="21">
        <v>44290</v>
      </c>
      <c r="F461" s="20" t="str">
        <f t="shared" si="7"/>
        <v>节假日</v>
      </c>
    </row>
    <row r="462" spans="5:6">
      <c r="E462" s="21">
        <v>44291</v>
      </c>
      <c r="F462" s="20" t="str">
        <f t="shared" si="7"/>
        <v>节假日</v>
      </c>
    </row>
    <row r="463" spans="5:6">
      <c r="E463" s="21">
        <v>44292</v>
      </c>
      <c r="F463" s="20" t="str">
        <f t="shared" si="7"/>
        <v>工作日</v>
      </c>
    </row>
    <row r="464" spans="5:6">
      <c r="E464" s="21">
        <v>44293</v>
      </c>
      <c r="F464" s="20" t="str">
        <f t="shared" si="7"/>
        <v>工作日</v>
      </c>
    </row>
    <row r="465" spans="5:6">
      <c r="E465" s="21">
        <v>44294</v>
      </c>
      <c r="F465" s="20" t="str">
        <f t="shared" si="7"/>
        <v>工作日</v>
      </c>
    </row>
    <row r="466" spans="5:6">
      <c r="E466" s="21">
        <v>44295</v>
      </c>
      <c r="F466" s="20" t="str">
        <f t="shared" si="7"/>
        <v>工作日</v>
      </c>
    </row>
    <row r="467" spans="5:6">
      <c r="E467" s="21">
        <v>44296</v>
      </c>
      <c r="F467" s="20" t="str">
        <f t="shared" si="7"/>
        <v>休息日</v>
      </c>
    </row>
    <row r="468" spans="5:6">
      <c r="E468" s="21">
        <v>44297</v>
      </c>
      <c r="F468" s="20" t="str">
        <f t="shared" si="7"/>
        <v>休息日</v>
      </c>
    </row>
    <row r="469" spans="5:6">
      <c r="E469" s="21">
        <v>44298</v>
      </c>
      <c r="F469" s="20" t="str">
        <f t="shared" si="7"/>
        <v>工作日</v>
      </c>
    </row>
    <row r="470" spans="5:6">
      <c r="E470" s="21">
        <v>44299</v>
      </c>
      <c r="F470" s="20" t="str">
        <f t="shared" si="7"/>
        <v>工作日</v>
      </c>
    </row>
    <row r="471" spans="5:6">
      <c r="E471" s="21">
        <v>44300</v>
      </c>
      <c r="F471" s="20" t="str">
        <f t="shared" si="7"/>
        <v>工作日</v>
      </c>
    </row>
    <row r="472" spans="5:6">
      <c r="E472" s="21">
        <v>44301</v>
      </c>
      <c r="F472" s="20" t="str">
        <f t="shared" si="7"/>
        <v>工作日</v>
      </c>
    </row>
    <row r="473" spans="5:6">
      <c r="E473" s="21">
        <v>44302</v>
      </c>
      <c r="F473" s="20" t="str">
        <f t="shared" si="7"/>
        <v>工作日</v>
      </c>
    </row>
    <row r="474" spans="5:6">
      <c r="E474" s="21">
        <v>44303</v>
      </c>
      <c r="F474" s="20" t="str">
        <f t="shared" si="7"/>
        <v>休息日</v>
      </c>
    </row>
    <row r="475" spans="5:6">
      <c r="E475" s="21">
        <v>44304</v>
      </c>
      <c r="F475" s="20" t="str">
        <f t="shared" si="7"/>
        <v>休息日</v>
      </c>
    </row>
    <row r="476" spans="5:6">
      <c r="E476" s="21">
        <v>44305</v>
      </c>
      <c r="F476" s="20" t="str">
        <f t="shared" si="7"/>
        <v>工作日</v>
      </c>
    </row>
    <row r="477" spans="5:6">
      <c r="E477" s="21">
        <v>44306</v>
      </c>
      <c r="F477" s="20" t="str">
        <f t="shared" si="7"/>
        <v>工作日</v>
      </c>
    </row>
    <row r="478" spans="5:6">
      <c r="E478" s="21">
        <v>44307</v>
      </c>
      <c r="F478" s="20" t="str">
        <f t="shared" si="7"/>
        <v>工作日</v>
      </c>
    </row>
    <row r="479" spans="5:6">
      <c r="E479" s="21">
        <v>44308</v>
      </c>
      <c r="F479" s="20" t="str">
        <f t="shared" si="7"/>
        <v>工作日</v>
      </c>
    </row>
    <row r="480" spans="5:6">
      <c r="E480" s="21">
        <v>44309</v>
      </c>
      <c r="F480" s="20" t="str">
        <f t="shared" si="7"/>
        <v>工作日</v>
      </c>
    </row>
    <row r="481" spans="5:6">
      <c r="E481" s="21">
        <v>44310</v>
      </c>
      <c r="F481" s="20" t="str">
        <f t="shared" si="7"/>
        <v>休息日</v>
      </c>
    </row>
    <row r="482" spans="5:6">
      <c r="E482" s="21">
        <v>44311</v>
      </c>
      <c r="F482" s="20" t="str">
        <f t="shared" si="7"/>
        <v>工作日</v>
      </c>
    </row>
    <row r="483" spans="5:6">
      <c r="E483" s="21">
        <v>44312</v>
      </c>
      <c r="F483" s="20" t="str">
        <f t="shared" si="7"/>
        <v>工作日</v>
      </c>
    </row>
    <row r="484" spans="5:6">
      <c r="E484" s="21">
        <v>44313</v>
      </c>
      <c r="F484" s="20" t="str">
        <f t="shared" si="7"/>
        <v>工作日</v>
      </c>
    </row>
    <row r="485" spans="5:6">
      <c r="E485" s="21">
        <v>44314</v>
      </c>
      <c r="F485" s="20" t="str">
        <f t="shared" si="7"/>
        <v>工作日</v>
      </c>
    </row>
    <row r="486" spans="5:6">
      <c r="E486" s="21">
        <v>44315</v>
      </c>
      <c r="F486" s="20" t="str">
        <f t="shared" si="7"/>
        <v>工作日</v>
      </c>
    </row>
    <row r="487" spans="5:6">
      <c r="E487" s="21">
        <v>44316</v>
      </c>
      <c r="F487" s="20" t="str">
        <f t="shared" si="7"/>
        <v>工作日</v>
      </c>
    </row>
    <row r="488" spans="5:6">
      <c r="E488" s="21">
        <v>44317</v>
      </c>
      <c r="F488" s="20" t="str">
        <f t="shared" si="7"/>
        <v>节假日</v>
      </c>
    </row>
    <row r="489" spans="5:6">
      <c r="E489" s="21">
        <v>44318</v>
      </c>
      <c r="F489" s="20" t="str">
        <f t="shared" si="7"/>
        <v>节假日</v>
      </c>
    </row>
    <row r="490" spans="5:6">
      <c r="E490" s="21">
        <v>44319</v>
      </c>
      <c r="F490" s="20" t="str">
        <f t="shared" si="7"/>
        <v>节假日</v>
      </c>
    </row>
    <row r="491" spans="5:6">
      <c r="E491" s="21">
        <v>44320</v>
      </c>
      <c r="F491" s="20" t="str">
        <f t="shared" si="7"/>
        <v>节假日</v>
      </c>
    </row>
    <row r="492" spans="5:6">
      <c r="E492" s="21">
        <v>44321</v>
      </c>
      <c r="F492" s="20" t="str">
        <f t="shared" si="7"/>
        <v>节假日</v>
      </c>
    </row>
    <row r="493" spans="5:6">
      <c r="E493" s="21">
        <v>44322</v>
      </c>
      <c r="F493" s="20" t="str">
        <f t="shared" si="7"/>
        <v>工作日</v>
      </c>
    </row>
    <row r="494" spans="5:6">
      <c r="E494" s="21">
        <v>44323</v>
      </c>
      <c r="F494" s="20" t="str">
        <f t="shared" si="7"/>
        <v>工作日</v>
      </c>
    </row>
    <row r="495" spans="5:6">
      <c r="E495" s="21">
        <v>44324</v>
      </c>
      <c r="F495" s="20" t="str">
        <f t="shared" si="7"/>
        <v>工作日</v>
      </c>
    </row>
    <row r="496" spans="5:6">
      <c r="E496" s="21">
        <v>44325</v>
      </c>
      <c r="F496" s="20" t="str">
        <f t="shared" si="7"/>
        <v>休息日</v>
      </c>
    </row>
    <row r="497" spans="5:6">
      <c r="E497" s="21">
        <v>44326</v>
      </c>
      <c r="F497" s="20" t="str">
        <f t="shared" si="7"/>
        <v>工作日</v>
      </c>
    </row>
    <row r="498" spans="5:6">
      <c r="E498" s="21">
        <v>44327</v>
      </c>
      <c r="F498" s="20" t="str">
        <f t="shared" si="7"/>
        <v>工作日</v>
      </c>
    </row>
    <row r="499" spans="5:6">
      <c r="E499" s="21">
        <v>44328</v>
      </c>
      <c r="F499" s="20" t="str">
        <f t="shared" si="7"/>
        <v>工作日</v>
      </c>
    </row>
    <row r="500" spans="5:6">
      <c r="E500" s="21">
        <v>44329</v>
      </c>
      <c r="F500" s="20" t="str">
        <f t="shared" si="7"/>
        <v>工作日</v>
      </c>
    </row>
    <row r="501" spans="5:6">
      <c r="E501" s="21">
        <v>44330</v>
      </c>
      <c r="F501" s="20" t="str">
        <f t="shared" si="7"/>
        <v>工作日</v>
      </c>
    </row>
    <row r="502" spans="5:6">
      <c r="E502" s="21">
        <v>44331</v>
      </c>
      <c r="F502" s="20" t="str">
        <f t="shared" si="7"/>
        <v>休息日</v>
      </c>
    </row>
    <row r="503" spans="5:6">
      <c r="E503" s="21">
        <v>44332</v>
      </c>
      <c r="F503" s="20" t="str">
        <f t="shared" si="7"/>
        <v>休息日</v>
      </c>
    </row>
    <row r="504" spans="5:6">
      <c r="E504" s="21">
        <v>44333</v>
      </c>
      <c r="F504" s="20" t="str">
        <f t="shared" si="7"/>
        <v>工作日</v>
      </c>
    </row>
    <row r="505" spans="5:6">
      <c r="E505" s="21">
        <v>44334</v>
      </c>
      <c r="F505" s="20" t="str">
        <f t="shared" si="7"/>
        <v>工作日</v>
      </c>
    </row>
    <row r="506" spans="5:6">
      <c r="E506" s="21">
        <v>44335</v>
      </c>
      <c r="F506" s="20" t="str">
        <f t="shared" si="7"/>
        <v>工作日</v>
      </c>
    </row>
    <row r="507" spans="5:6">
      <c r="E507" s="21">
        <v>44336</v>
      </c>
      <c r="F507" s="20" t="str">
        <f t="shared" si="7"/>
        <v>工作日</v>
      </c>
    </row>
    <row r="508" spans="5:6">
      <c r="E508" s="21">
        <v>44337</v>
      </c>
      <c r="F508" s="20" t="str">
        <f t="shared" si="7"/>
        <v>工作日</v>
      </c>
    </row>
    <row r="509" spans="5:6">
      <c r="E509" s="21">
        <v>44338</v>
      </c>
      <c r="F509" s="20" t="str">
        <f t="shared" si="7"/>
        <v>休息日</v>
      </c>
    </row>
    <row r="510" spans="5:6">
      <c r="E510" s="21">
        <v>44339</v>
      </c>
      <c r="F510" s="20" t="str">
        <f t="shared" si="7"/>
        <v>休息日</v>
      </c>
    </row>
    <row r="511" spans="5:6">
      <c r="E511" s="21">
        <v>44340</v>
      </c>
      <c r="F511" s="20" t="str">
        <f t="shared" si="7"/>
        <v>工作日</v>
      </c>
    </row>
    <row r="512" spans="5:6">
      <c r="E512" s="21">
        <v>44341</v>
      </c>
      <c r="F512" s="20" t="str">
        <f t="shared" si="7"/>
        <v>工作日</v>
      </c>
    </row>
    <row r="513" spans="5:6">
      <c r="E513" s="21">
        <v>44342</v>
      </c>
      <c r="F513" s="20" t="str">
        <f t="shared" si="7"/>
        <v>工作日</v>
      </c>
    </row>
    <row r="514" spans="5:6">
      <c r="E514" s="21">
        <v>44343</v>
      </c>
      <c r="F514" s="20" t="str">
        <f t="shared" si="7"/>
        <v>工作日</v>
      </c>
    </row>
    <row r="515" spans="5:6">
      <c r="E515" s="21">
        <v>44344</v>
      </c>
      <c r="F515" s="20" t="str">
        <f t="shared" ref="F515:F578" si="8">IF(COUNTIF(B:B,E515)&gt;=1,"节假日",IF(WEEKDAY(E515,2)&gt;=6,IF(COUNTIF(C:C,E515)=0,"休息日","工作日"),"工作日"))</f>
        <v>工作日</v>
      </c>
    </row>
    <row r="516" spans="5:6">
      <c r="E516" s="21">
        <v>44345</v>
      </c>
      <c r="F516" s="20" t="str">
        <f t="shared" si="8"/>
        <v>休息日</v>
      </c>
    </row>
    <row r="517" spans="5:6">
      <c r="E517" s="21">
        <v>44346</v>
      </c>
      <c r="F517" s="20" t="str">
        <f t="shared" si="8"/>
        <v>休息日</v>
      </c>
    </row>
    <row r="518" spans="5:6">
      <c r="E518" s="21">
        <v>44347</v>
      </c>
      <c r="F518" s="20" t="str">
        <f t="shared" si="8"/>
        <v>工作日</v>
      </c>
    </row>
    <row r="519" spans="5:6">
      <c r="E519" s="21">
        <v>44348</v>
      </c>
      <c r="F519" s="20" t="str">
        <f t="shared" si="8"/>
        <v>工作日</v>
      </c>
    </row>
    <row r="520" spans="5:6">
      <c r="E520" s="21">
        <v>44349</v>
      </c>
      <c r="F520" s="20" t="str">
        <f t="shared" si="8"/>
        <v>工作日</v>
      </c>
    </row>
    <row r="521" spans="5:6">
      <c r="E521" s="21">
        <v>44350</v>
      </c>
      <c r="F521" s="20" t="str">
        <f t="shared" si="8"/>
        <v>工作日</v>
      </c>
    </row>
    <row r="522" spans="5:6">
      <c r="E522" s="21">
        <v>44351</v>
      </c>
      <c r="F522" s="20" t="str">
        <f t="shared" si="8"/>
        <v>工作日</v>
      </c>
    </row>
    <row r="523" spans="5:6">
      <c r="E523" s="21">
        <v>44352</v>
      </c>
      <c r="F523" s="20" t="str">
        <f t="shared" si="8"/>
        <v>休息日</v>
      </c>
    </row>
    <row r="524" spans="5:6">
      <c r="E524" s="21">
        <v>44353</v>
      </c>
      <c r="F524" s="20" t="str">
        <f t="shared" si="8"/>
        <v>休息日</v>
      </c>
    </row>
    <row r="525" spans="5:6">
      <c r="E525" s="21">
        <v>44354</v>
      </c>
      <c r="F525" s="20" t="str">
        <f t="shared" si="8"/>
        <v>工作日</v>
      </c>
    </row>
    <row r="526" spans="5:6">
      <c r="E526" s="21">
        <v>44355</v>
      </c>
      <c r="F526" s="20" t="str">
        <f t="shared" si="8"/>
        <v>工作日</v>
      </c>
    </row>
    <row r="527" spans="5:6">
      <c r="E527" s="21">
        <v>44356</v>
      </c>
      <c r="F527" s="20" t="str">
        <f t="shared" si="8"/>
        <v>工作日</v>
      </c>
    </row>
    <row r="528" spans="5:6">
      <c r="E528" s="21">
        <v>44357</v>
      </c>
      <c r="F528" s="20" t="str">
        <f t="shared" si="8"/>
        <v>工作日</v>
      </c>
    </row>
    <row r="529" spans="5:6">
      <c r="E529" s="21">
        <v>44358</v>
      </c>
      <c r="F529" s="20" t="str">
        <f t="shared" si="8"/>
        <v>工作日</v>
      </c>
    </row>
    <row r="530" spans="5:6">
      <c r="E530" s="21">
        <v>44359</v>
      </c>
      <c r="F530" s="20" t="str">
        <f t="shared" si="8"/>
        <v>节假日</v>
      </c>
    </row>
    <row r="531" spans="5:6">
      <c r="E531" s="21">
        <v>44360</v>
      </c>
      <c r="F531" s="20" t="str">
        <f t="shared" si="8"/>
        <v>节假日</v>
      </c>
    </row>
    <row r="532" spans="5:6">
      <c r="E532" s="21">
        <v>44361</v>
      </c>
      <c r="F532" s="20" t="str">
        <f t="shared" si="8"/>
        <v>节假日</v>
      </c>
    </row>
    <row r="533" spans="5:6">
      <c r="E533" s="21">
        <v>44362</v>
      </c>
      <c r="F533" s="20" t="str">
        <f t="shared" si="8"/>
        <v>工作日</v>
      </c>
    </row>
    <row r="534" spans="5:6">
      <c r="E534" s="21">
        <v>44363</v>
      </c>
      <c r="F534" s="20" t="str">
        <f t="shared" si="8"/>
        <v>工作日</v>
      </c>
    </row>
    <row r="535" spans="5:6">
      <c r="E535" s="21">
        <v>44364</v>
      </c>
      <c r="F535" s="20" t="str">
        <f t="shared" si="8"/>
        <v>工作日</v>
      </c>
    </row>
    <row r="536" spans="5:6">
      <c r="E536" s="21">
        <v>44365</v>
      </c>
      <c r="F536" s="20" t="str">
        <f t="shared" si="8"/>
        <v>工作日</v>
      </c>
    </row>
    <row r="537" spans="5:6">
      <c r="E537" s="21">
        <v>44366</v>
      </c>
      <c r="F537" s="20" t="str">
        <f t="shared" si="8"/>
        <v>休息日</v>
      </c>
    </row>
    <row r="538" spans="5:6">
      <c r="E538" s="21">
        <v>44367</v>
      </c>
      <c r="F538" s="20" t="str">
        <f t="shared" si="8"/>
        <v>休息日</v>
      </c>
    </row>
    <row r="539" spans="5:6">
      <c r="E539" s="21">
        <v>44368</v>
      </c>
      <c r="F539" s="20" t="str">
        <f t="shared" si="8"/>
        <v>工作日</v>
      </c>
    </row>
    <row r="540" spans="5:6">
      <c r="E540" s="21">
        <v>44369</v>
      </c>
      <c r="F540" s="20" t="str">
        <f t="shared" si="8"/>
        <v>工作日</v>
      </c>
    </row>
    <row r="541" spans="5:6">
      <c r="E541" s="21">
        <v>44370</v>
      </c>
      <c r="F541" s="20" t="str">
        <f t="shared" si="8"/>
        <v>工作日</v>
      </c>
    </row>
    <row r="542" spans="5:6">
      <c r="E542" s="21">
        <v>44371</v>
      </c>
      <c r="F542" s="20" t="str">
        <f t="shared" si="8"/>
        <v>工作日</v>
      </c>
    </row>
    <row r="543" spans="5:6">
      <c r="E543" s="21">
        <v>44372</v>
      </c>
      <c r="F543" s="20" t="str">
        <f t="shared" si="8"/>
        <v>工作日</v>
      </c>
    </row>
    <row r="544" spans="5:6">
      <c r="E544" s="21">
        <v>44373</v>
      </c>
      <c r="F544" s="20" t="str">
        <f t="shared" si="8"/>
        <v>休息日</v>
      </c>
    </row>
    <row r="545" spans="5:6">
      <c r="E545" s="21">
        <v>44374</v>
      </c>
      <c r="F545" s="20" t="str">
        <f t="shared" si="8"/>
        <v>休息日</v>
      </c>
    </row>
    <row r="546" spans="5:6">
      <c r="E546" s="21">
        <v>44375</v>
      </c>
      <c r="F546" s="20" t="str">
        <f t="shared" si="8"/>
        <v>工作日</v>
      </c>
    </row>
    <row r="547" spans="5:6">
      <c r="E547" s="21">
        <v>44376</v>
      </c>
      <c r="F547" s="20" t="str">
        <f t="shared" si="8"/>
        <v>工作日</v>
      </c>
    </row>
    <row r="548" spans="5:6">
      <c r="E548" s="21">
        <v>44377</v>
      </c>
      <c r="F548" s="20" t="str">
        <f t="shared" si="8"/>
        <v>工作日</v>
      </c>
    </row>
    <row r="549" spans="5:6">
      <c r="E549" s="21">
        <v>44378</v>
      </c>
      <c r="F549" s="20" t="str">
        <f t="shared" si="8"/>
        <v>工作日</v>
      </c>
    </row>
    <row r="550" spans="5:6">
      <c r="E550" s="21">
        <v>44379</v>
      </c>
      <c r="F550" s="20" t="str">
        <f t="shared" si="8"/>
        <v>工作日</v>
      </c>
    </row>
    <row r="551" spans="5:6">
      <c r="E551" s="21">
        <v>44380</v>
      </c>
      <c r="F551" s="20" t="str">
        <f t="shared" si="8"/>
        <v>休息日</v>
      </c>
    </row>
    <row r="552" spans="5:6">
      <c r="E552" s="21">
        <v>44381</v>
      </c>
      <c r="F552" s="20" t="str">
        <f t="shared" si="8"/>
        <v>休息日</v>
      </c>
    </row>
    <row r="553" spans="5:6">
      <c r="E553" s="21">
        <v>44382</v>
      </c>
      <c r="F553" s="20" t="str">
        <f t="shared" si="8"/>
        <v>工作日</v>
      </c>
    </row>
    <row r="554" spans="5:6">
      <c r="E554" s="21">
        <v>44383</v>
      </c>
      <c r="F554" s="20" t="str">
        <f t="shared" si="8"/>
        <v>工作日</v>
      </c>
    </row>
    <row r="555" spans="5:6">
      <c r="E555" s="21">
        <v>44384</v>
      </c>
      <c r="F555" s="20" t="str">
        <f t="shared" si="8"/>
        <v>工作日</v>
      </c>
    </row>
    <row r="556" spans="5:6">
      <c r="E556" s="21">
        <v>44385</v>
      </c>
      <c r="F556" s="20" t="str">
        <f t="shared" si="8"/>
        <v>工作日</v>
      </c>
    </row>
    <row r="557" spans="5:6">
      <c r="E557" s="21">
        <v>44386</v>
      </c>
      <c r="F557" s="20" t="str">
        <f t="shared" si="8"/>
        <v>工作日</v>
      </c>
    </row>
    <row r="558" spans="5:6">
      <c r="E558" s="21">
        <v>44387</v>
      </c>
      <c r="F558" s="20" t="str">
        <f t="shared" si="8"/>
        <v>休息日</v>
      </c>
    </row>
    <row r="559" spans="5:6">
      <c r="E559" s="21">
        <v>44388</v>
      </c>
      <c r="F559" s="20" t="str">
        <f t="shared" si="8"/>
        <v>休息日</v>
      </c>
    </row>
    <row r="560" spans="5:6">
      <c r="E560" s="21">
        <v>44389</v>
      </c>
      <c r="F560" s="20" t="str">
        <f t="shared" si="8"/>
        <v>工作日</v>
      </c>
    </row>
    <row r="561" spans="5:6">
      <c r="E561" s="21">
        <v>44390</v>
      </c>
      <c r="F561" s="20" t="str">
        <f t="shared" si="8"/>
        <v>工作日</v>
      </c>
    </row>
    <row r="562" spans="5:6">
      <c r="E562" s="21">
        <v>44391</v>
      </c>
      <c r="F562" s="20" t="str">
        <f t="shared" si="8"/>
        <v>工作日</v>
      </c>
    </row>
    <row r="563" spans="5:6">
      <c r="E563" s="21">
        <v>44392</v>
      </c>
      <c r="F563" s="20" t="str">
        <f t="shared" si="8"/>
        <v>工作日</v>
      </c>
    </row>
    <row r="564" spans="5:6">
      <c r="E564" s="21">
        <v>44393</v>
      </c>
      <c r="F564" s="20" t="str">
        <f t="shared" si="8"/>
        <v>工作日</v>
      </c>
    </row>
    <row r="565" spans="5:6">
      <c r="E565" s="21">
        <v>44394</v>
      </c>
      <c r="F565" s="20" t="str">
        <f t="shared" si="8"/>
        <v>休息日</v>
      </c>
    </row>
    <row r="566" spans="5:6">
      <c r="E566" s="21">
        <v>44395</v>
      </c>
      <c r="F566" s="20" t="str">
        <f t="shared" si="8"/>
        <v>休息日</v>
      </c>
    </row>
    <row r="567" spans="5:6">
      <c r="E567" s="21">
        <v>44396</v>
      </c>
      <c r="F567" s="20" t="str">
        <f t="shared" si="8"/>
        <v>工作日</v>
      </c>
    </row>
    <row r="568" spans="5:6">
      <c r="E568" s="21">
        <v>44397</v>
      </c>
      <c r="F568" s="20" t="str">
        <f t="shared" si="8"/>
        <v>工作日</v>
      </c>
    </row>
    <row r="569" spans="5:6">
      <c r="E569" s="21">
        <v>44398</v>
      </c>
      <c r="F569" s="20" t="str">
        <f t="shared" si="8"/>
        <v>工作日</v>
      </c>
    </row>
    <row r="570" spans="5:6">
      <c r="E570" s="21">
        <v>44399</v>
      </c>
      <c r="F570" s="20" t="str">
        <f t="shared" si="8"/>
        <v>工作日</v>
      </c>
    </row>
    <row r="571" spans="5:6">
      <c r="E571" s="21">
        <v>44400</v>
      </c>
      <c r="F571" s="20" t="str">
        <f t="shared" si="8"/>
        <v>工作日</v>
      </c>
    </row>
    <row r="572" spans="5:6">
      <c r="E572" s="21">
        <v>44401</v>
      </c>
      <c r="F572" s="20" t="str">
        <f t="shared" si="8"/>
        <v>休息日</v>
      </c>
    </row>
    <row r="573" spans="5:6">
      <c r="E573" s="21">
        <v>44402</v>
      </c>
      <c r="F573" s="20" t="str">
        <f t="shared" si="8"/>
        <v>休息日</v>
      </c>
    </row>
    <row r="574" spans="5:6">
      <c r="E574" s="21">
        <v>44403</v>
      </c>
      <c r="F574" s="20" t="str">
        <f t="shared" si="8"/>
        <v>工作日</v>
      </c>
    </row>
    <row r="575" spans="5:6">
      <c r="E575" s="21">
        <v>44404</v>
      </c>
      <c r="F575" s="20" t="str">
        <f t="shared" si="8"/>
        <v>工作日</v>
      </c>
    </row>
    <row r="576" spans="5:6">
      <c r="E576" s="21">
        <v>44405</v>
      </c>
      <c r="F576" s="20" t="str">
        <f t="shared" si="8"/>
        <v>工作日</v>
      </c>
    </row>
    <row r="577" spans="5:6">
      <c r="E577" s="21">
        <v>44406</v>
      </c>
      <c r="F577" s="20" t="str">
        <f t="shared" si="8"/>
        <v>工作日</v>
      </c>
    </row>
    <row r="578" spans="5:6">
      <c r="E578" s="21">
        <v>44407</v>
      </c>
      <c r="F578" s="20" t="str">
        <f t="shared" si="8"/>
        <v>工作日</v>
      </c>
    </row>
    <row r="579" spans="5:6">
      <c r="E579" s="21">
        <v>44408</v>
      </c>
      <c r="F579" s="20" t="str">
        <f t="shared" ref="F579:F642" si="9">IF(COUNTIF(B:B,E579)&gt;=1,"节假日",IF(WEEKDAY(E579,2)&gt;=6,IF(COUNTIF(C:C,E579)=0,"休息日","工作日"),"工作日"))</f>
        <v>休息日</v>
      </c>
    </row>
    <row r="580" spans="5:6">
      <c r="E580" s="21">
        <v>44409</v>
      </c>
      <c r="F580" s="20" t="str">
        <f t="shared" si="9"/>
        <v>休息日</v>
      </c>
    </row>
    <row r="581" spans="5:6">
      <c r="E581" s="21">
        <v>44410</v>
      </c>
      <c r="F581" s="20" t="str">
        <f t="shared" si="9"/>
        <v>工作日</v>
      </c>
    </row>
    <row r="582" spans="5:6">
      <c r="E582" s="21">
        <v>44411</v>
      </c>
      <c r="F582" s="20" t="str">
        <f t="shared" si="9"/>
        <v>工作日</v>
      </c>
    </row>
    <row r="583" spans="5:6">
      <c r="E583" s="21">
        <v>44412</v>
      </c>
      <c r="F583" s="20" t="str">
        <f t="shared" si="9"/>
        <v>工作日</v>
      </c>
    </row>
    <row r="584" spans="5:6">
      <c r="E584" s="21">
        <v>44413</v>
      </c>
      <c r="F584" s="20" t="str">
        <f t="shared" si="9"/>
        <v>工作日</v>
      </c>
    </row>
    <row r="585" spans="5:6">
      <c r="E585" s="21">
        <v>44414</v>
      </c>
      <c r="F585" s="20" t="str">
        <f t="shared" si="9"/>
        <v>工作日</v>
      </c>
    </row>
    <row r="586" spans="5:6">
      <c r="E586" s="21">
        <v>44415</v>
      </c>
      <c r="F586" s="20" t="str">
        <f t="shared" si="9"/>
        <v>休息日</v>
      </c>
    </row>
    <row r="587" spans="5:6">
      <c r="E587" s="21">
        <v>44416</v>
      </c>
      <c r="F587" s="20" t="str">
        <f t="shared" si="9"/>
        <v>休息日</v>
      </c>
    </row>
    <row r="588" spans="5:6">
      <c r="E588" s="21">
        <v>44417</v>
      </c>
      <c r="F588" s="20" t="str">
        <f t="shared" si="9"/>
        <v>工作日</v>
      </c>
    </row>
    <row r="589" spans="5:6">
      <c r="E589" s="21">
        <v>44418</v>
      </c>
      <c r="F589" s="20" t="str">
        <f t="shared" si="9"/>
        <v>工作日</v>
      </c>
    </row>
    <row r="590" spans="5:6">
      <c r="E590" s="21">
        <v>44419</v>
      </c>
      <c r="F590" s="20" t="str">
        <f t="shared" si="9"/>
        <v>工作日</v>
      </c>
    </row>
    <row r="591" spans="5:6">
      <c r="E591" s="21">
        <v>44420</v>
      </c>
      <c r="F591" s="20" t="str">
        <f t="shared" si="9"/>
        <v>工作日</v>
      </c>
    </row>
    <row r="592" spans="5:6">
      <c r="E592" s="21">
        <v>44421</v>
      </c>
      <c r="F592" s="20" t="str">
        <f t="shared" si="9"/>
        <v>工作日</v>
      </c>
    </row>
    <row r="593" spans="5:6">
      <c r="E593" s="21">
        <v>44422</v>
      </c>
      <c r="F593" s="20" t="str">
        <f t="shared" si="9"/>
        <v>休息日</v>
      </c>
    </row>
    <row r="594" spans="5:6">
      <c r="E594" s="21">
        <v>44423</v>
      </c>
      <c r="F594" s="20" t="str">
        <f t="shared" si="9"/>
        <v>休息日</v>
      </c>
    </row>
    <row r="595" spans="5:6">
      <c r="E595" s="21">
        <v>44424</v>
      </c>
      <c r="F595" s="20" t="str">
        <f t="shared" si="9"/>
        <v>工作日</v>
      </c>
    </row>
    <row r="596" spans="5:6">
      <c r="E596" s="21">
        <v>44425</v>
      </c>
      <c r="F596" s="20" t="str">
        <f t="shared" si="9"/>
        <v>工作日</v>
      </c>
    </row>
    <row r="597" spans="5:6">
      <c r="E597" s="21">
        <v>44426</v>
      </c>
      <c r="F597" s="20" t="str">
        <f t="shared" si="9"/>
        <v>工作日</v>
      </c>
    </row>
    <row r="598" spans="5:6">
      <c r="E598" s="21">
        <v>44427</v>
      </c>
      <c r="F598" s="20" t="str">
        <f t="shared" si="9"/>
        <v>工作日</v>
      </c>
    </row>
    <row r="599" spans="5:6">
      <c r="E599" s="21">
        <v>44428</v>
      </c>
      <c r="F599" s="20" t="str">
        <f t="shared" si="9"/>
        <v>工作日</v>
      </c>
    </row>
    <row r="600" spans="5:6">
      <c r="E600" s="21">
        <v>44429</v>
      </c>
      <c r="F600" s="20" t="str">
        <f t="shared" si="9"/>
        <v>休息日</v>
      </c>
    </row>
    <row r="601" spans="5:6">
      <c r="E601" s="21">
        <v>44430</v>
      </c>
      <c r="F601" s="20" t="str">
        <f t="shared" si="9"/>
        <v>休息日</v>
      </c>
    </row>
    <row r="602" spans="5:6">
      <c r="E602" s="21">
        <v>44431</v>
      </c>
      <c r="F602" s="20" t="str">
        <f t="shared" si="9"/>
        <v>工作日</v>
      </c>
    </row>
    <row r="603" spans="5:6">
      <c r="E603" s="21">
        <v>44432</v>
      </c>
      <c r="F603" s="20" t="str">
        <f t="shared" si="9"/>
        <v>工作日</v>
      </c>
    </row>
    <row r="604" spans="5:6">
      <c r="E604" s="21">
        <v>44433</v>
      </c>
      <c r="F604" s="20" t="str">
        <f t="shared" si="9"/>
        <v>工作日</v>
      </c>
    </row>
    <row r="605" spans="5:6">
      <c r="E605" s="21">
        <v>44434</v>
      </c>
      <c r="F605" s="20" t="str">
        <f t="shared" si="9"/>
        <v>工作日</v>
      </c>
    </row>
    <row r="606" spans="5:6">
      <c r="E606" s="21">
        <v>44435</v>
      </c>
      <c r="F606" s="20" t="str">
        <f t="shared" si="9"/>
        <v>工作日</v>
      </c>
    </row>
    <row r="607" spans="5:6">
      <c r="E607" s="21">
        <v>44436</v>
      </c>
      <c r="F607" s="20" t="str">
        <f t="shared" si="9"/>
        <v>休息日</v>
      </c>
    </row>
    <row r="608" spans="5:6">
      <c r="E608" s="21">
        <v>44437</v>
      </c>
      <c r="F608" s="20" t="str">
        <f t="shared" si="9"/>
        <v>休息日</v>
      </c>
    </row>
    <row r="609" spans="5:6">
      <c r="E609" s="21">
        <v>44438</v>
      </c>
      <c r="F609" s="20" t="str">
        <f t="shared" si="9"/>
        <v>工作日</v>
      </c>
    </row>
    <row r="610" spans="5:6">
      <c r="E610" s="21">
        <v>44439</v>
      </c>
      <c r="F610" s="20" t="str">
        <f t="shared" si="9"/>
        <v>工作日</v>
      </c>
    </row>
    <row r="611" spans="5:6">
      <c r="E611" s="21">
        <v>44440</v>
      </c>
      <c r="F611" s="20" t="str">
        <f t="shared" si="9"/>
        <v>工作日</v>
      </c>
    </row>
    <row r="612" spans="5:6">
      <c r="E612" s="21">
        <v>44441</v>
      </c>
      <c r="F612" s="20" t="str">
        <f t="shared" si="9"/>
        <v>工作日</v>
      </c>
    </row>
    <row r="613" spans="5:6">
      <c r="E613" s="21">
        <v>44442</v>
      </c>
      <c r="F613" s="20" t="str">
        <f t="shared" si="9"/>
        <v>工作日</v>
      </c>
    </row>
    <row r="614" spans="5:6">
      <c r="E614" s="21">
        <v>44443</v>
      </c>
      <c r="F614" s="20" t="str">
        <f t="shared" si="9"/>
        <v>休息日</v>
      </c>
    </row>
    <row r="615" spans="5:6">
      <c r="E615" s="21">
        <v>44444</v>
      </c>
      <c r="F615" s="20" t="str">
        <f t="shared" si="9"/>
        <v>休息日</v>
      </c>
    </row>
    <row r="616" spans="5:6">
      <c r="E616" s="21">
        <v>44445</v>
      </c>
      <c r="F616" s="20" t="str">
        <f t="shared" si="9"/>
        <v>工作日</v>
      </c>
    </row>
    <row r="617" spans="5:6">
      <c r="E617" s="21">
        <v>44446</v>
      </c>
      <c r="F617" s="20" t="str">
        <f t="shared" si="9"/>
        <v>工作日</v>
      </c>
    </row>
    <row r="618" spans="5:6">
      <c r="E618" s="21">
        <v>44447</v>
      </c>
      <c r="F618" s="20" t="str">
        <f t="shared" si="9"/>
        <v>工作日</v>
      </c>
    </row>
    <row r="619" spans="5:6">
      <c r="E619" s="21">
        <v>44448</v>
      </c>
      <c r="F619" s="20" t="str">
        <f t="shared" si="9"/>
        <v>工作日</v>
      </c>
    </row>
    <row r="620" spans="5:6">
      <c r="E620" s="21">
        <v>44449</v>
      </c>
      <c r="F620" s="20" t="str">
        <f t="shared" si="9"/>
        <v>工作日</v>
      </c>
    </row>
    <row r="621" spans="5:6">
      <c r="E621" s="21">
        <v>44450</v>
      </c>
      <c r="F621" s="20" t="str">
        <f t="shared" si="9"/>
        <v>休息日</v>
      </c>
    </row>
    <row r="622" spans="5:6">
      <c r="E622" s="21">
        <v>44451</v>
      </c>
      <c r="F622" s="20" t="str">
        <f t="shared" si="9"/>
        <v>休息日</v>
      </c>
    </row>
    <row r="623" spans="5:6">
      <c r="E623" s="21">
        <v>44452</v>
      </c>
      <c r="F623" s="20" t="str">
        <f t="shared" si="9"/>
        <v>工作日</v>
      </c>
    </row>
    <row r="624" spans="5:6">
      <c r="E624" s="21">
        <v>44453</v>
      </c>
      <c r="F624" s="20" t="str">
        <f t="shared" si="9"/>
        <v>工作日</v>
      </c>
    </row>
    <row r="625" spans="5:6">
      <c r="E625" s="21">
        <v>44454</v>
      </c>
      <c r="F625" s="20" t="str">
        <f t="shared" si="9"/>
        <v>工作日</v>
      </c>
    </row>
    <row r="626" spans="5:6">
      <c r="E626" s="21">
        <v>44455</v>
      </c>
      <c r="F626" s="20" t="str">
        <f t="shared" si="9"/>
        <v>工作日</v>
      </c>
    </row>
    <row r="627" spans="5:6">
      <c r="E627" s="21">
        <v>44456</v>
      </c>
      <c r="F627" s="20" t="str">
        <f t="shared" si="9"/>
        <v>工作日</v>
      </c>
    </row>
    <row r="628" spans="5:6">
      <c r="E628" s="21">
        <v>44457</v>
      </c>
      <c r="F628" s="20" t="str">
        <f t="shared" si="9"/>
        <v>工作日</v>
      </c>
    </row>
    <row r="629" spans="5:6">
      <c r="E629" s="21">
        <v>44458</v>
      </c>
      <c r="F629" s="20" t="str">
        <f t="shared" si="9"/>
        <v>节假日</v>
      </c>
    </row>
    <row r="630" spans="5:6">
      <c r="E630" s="21">
        <v>44459</v>
      </c>
      <c r="F630" s="20" t="str">
        <f t="shared" si="9"/>
        <v>节假日</v>
      </c>
    </row>
    <row r="631" spans="5:6">
      <c r="E631" s="21">
        <v>44460</v>
      </c>
      <c r="F631" s="20" t="str">
        <f t="shared" si="9"/>
        <v>节假日</v>
      </c>
    </row>
    <row r="632" spans="5:6">
      <c r="E632" s="21">
        <v>44461</v>
      </c>
      <c r="F632" s="20" t="str">
        <f t="shared" si="9"/>
        <v>工作日</v>
      </c>
    </row>
    <row r="633" spans="5:6">
      <c r="E633" s="21">
        <v>44462</v>
      </c>
      <c r="F633" s="20" t="str">
        <f t="shared" si="9"/>
        <v>工作日</v>
      </c>
    </row>
    <row r="634" spans="5:6">
      <c r="E634" s="21">
        <v>44463</v>
      </c>
      <c r="F634" s="20" t="str">
        <f t="shared" si="9"/>
        <v>工作日</v>
      </c>
    </row>
    <row r="635" spans="5:6">
      <c r="E635" s="21">
        <v>44464</v>
      </c>
      <c r="F635" s="20" t="str">
        <f t="shared" si="9"/>
        <v>休息日</v>
      </c>
    </row>
    <row r="636" spans="5:6">
      <c r="E636" s="21">
        <v>44465</v>
      </c>
      <c r="F636" s="20" t="str">
        <f t="shared" si="9"/>
        <v>工作日</v>
      </c>
    </row>
    <row r="637" spans="5:6">
      <c r="E637" s="21">
        <v>44466</v>
      </c>
      <c r="F637" s="20" t="str">
        <f t="shared" si="9"/>
        <v>工作日</v>
      </c>
    </row>
    <row r="638" spans="5:6">
      <c r="E638" s="21">
        <v>44467</v>
      </c>
      <c r="F638" s="20" t="str">
        <f t="shared" si="9"/>
        <v>工作日</v>
      </c>
    </row>
    <row r="639" spans="5:6">
      <c r="E639" s="21">
        <v>44468</v>
      </c>
      <c r="F639" s="20" t="str">
        <f t="shared" si="9"/>
        <v>工作日</v>
      </c>
    </row>
    <row r="640" spans="5:6">
      <c r="E640" s="21">
        <v>44469</v>
      </c>
      <c r="F640" s="20" t="str">
        <f t="shared" si="9"/>
        <v>工作日</v>
      </c>
    </row>
    <row r="641" spans="5:6">
      <c r="E641" s="21">
        <v>44470</v>
      </c>
      <c r="F641" s="20" t="str">
        <f t="shared" si="9"/>
        <v>节假日</v>
      </c>
    </row>
    <row r="642" spans="5:6">
      <c r="E642" s="21">
        <v>44471</v>
      </c>
      <c r="F642" s="20" t="str">
        <f t="shared" si="9"/>
        <v>节假日</v>
      </c>
    </row>
    <row r="643" spans="5:6">
      <c r="E643" s="21">
        <v>44472</v>
      </c>
      <c r="F643" s="20" t="str">
        <f t="shared" ref="F643:F706" si="10">IF(COUNTIF(B:B,E643)&gt;=1,"节假日",IF(WEEKDAY(E643,2)&gt;=6,IF(COUNTIF(C:C,E643)=0,"休息日","工作日"),"工作日"))</f>
        <v>节假日</v>
      </c>
    </row>
    <row r="644" spans="5:6">
      <c r="E644" s="21">
        <v>44473</v>
      </c>
      <c r="F644" s="20" t="str">
        <f t="shared" si="10"/>
        <v>节假日</v>
      </c>
    </row>
    <row r="645" spans="5:6">
      <c r="E645" s="21">
        <v>44474</v>
      </c>
      <c r="F645" s="20" t="str">
        <f t="shared" si="10"/>
        <v>节假日</v>
      </c>
    </row>
    <row r="646" spans="5:6">
      <c r="E646" s="21">
        <v>44475</v>
      </c>
      <c r="F646" s="20" t="str">
        <f t="shared" si="10"/>
        <v>节假日</v>
      </c>
    </row>
    <row r="647" spans="5:6">
      <c r="E647" s="21">
        <v>44476</v>
      </c>
      <c r="F647" s="20" t="str">
        <f t="shared" si="10"/>
        <v>节假日</v>
      </c>
    </row>
    <row r="648" spans="5:6">
      <c r="E648" s="21">
        <v>44477</v>
      </c>
      <c r="F648" s="20" t="str">
        <f t="shared" si="10"/>
        <v>工作日</v>
      </c>
    </row>
    <row r="649" spans="5:6">
      <c r="E649" s="21">
        <v>44478</v>
      </c>
      <c r="F649" s="20" t="str">
        <f t="shared" si="10"/>
        <v>工作日</v>
      </c>
    </row>
    <row r="650" spans="5:6">
      <c r="E650" s="21">
        <v>44479</v>
      </c>
      <c r="F650" s="20" t="str">
        <f t="shared" si="10"/>
        <v>休息日</v>
      </c>
    </row>
    <row r="651" spans="5:6">
      <c r="E651" s="21">
        <v>44480</v>
      </c>
      <c r="F651" s="20" t="str">
        <f t="shared" si="10"/>
        <v>工作日</v>
      </c>
    </row>
    <row r="652" spans="5:6">
      <c r="E652" s="21">
        <v>44481</v>
      </c>
      <c r="F652" s="20" t="str">
        <f t="shared" si="10"/>
        <v>工作日</v>
      </c>
    </row>
    <row r="653" spans="5:6">
      <c r="E653" s="21">
        <v>44482</v>
      </c>
      <c r="F653" s="20" t="str">
        <f t="shared" si="10"/>
        <v>工作日</v>
      </c>
    </row>
    <row r="654" spans="5:6">
      <c r="E654" s="21">
        <v>44483</v>
      </c>
      <c r="F654" s="20" t="str">
        <f t="shared" si="10"/>
        <v>工作日</v>
      </c>
    </row>
    <row r="655" spans="5:6">
      <c r="E655" s="21">
        <v>44484</v>
      </c>
      <c r="F655" s="20" t="str">
        <f t="shared" si="10"/>
        <v>工作日</v>
      </c>
    </row>
    <row r="656" spans="5:6">
      <c r="E656" s="21">
        <v>44485</v>
      </c>
      <c r="F656" s="20" t="str">
        <f t="shared" si="10"/>
        <v>休息日</v>
      </c>
    </row>
    <row r="657" spans="5:6">
      <c r="E657" s="21">
        <v>44486</v>
      </c>
      <c r="F657" s="20" t="str">
        <f t="shared" si="10"/>
        <v>休息日</v>
      </c>
    </row>
    <row r="658" spans="5:6">
      <c r="E658" s="21">
        <v>44487</v>
      </c>
      <c r="F658" s="20" t="str">
        <f t="shared" si="10"/>
        <v>工作日</v>
      </c>
    </row>
    <row r="659" spans="5:6">
      <c r="E659" s="21">
        <v>44488</v>
      </c>
      <c r="F659" s="20" t="str">
        <f t="shared" si="10"/>
        <v>工作日</v>
      </c>
    </row>
    <row r="660" spans="5:6">
      <c r="E660" s="21">
        <v>44489</v>
      </c>
      <c r="F660" s="20" t="str">
        <f t="shared" si="10"/>
        <v>工作日</v>
      </c>
    </row>
    <row r="661" spans="5:6">
      <c r="E661" s="21">
        <v>44490</v>
      </c>
      <c r="F661" s="20" t="str">
        <f t="shared" si="10"/>
        <v>工作日</v>
      </c>
    </row>
    <row r="662" spans="5:6">
      <c r="E662" s="21">
        <v>44491</v>
      </c>
      <c r="F662" s="20" t="str">
        <f t="shared" si="10"/>
        <v>工作日</v>
      </c>
    </row>
    <row r="663" spans="5:6">
      <c r="E663" s="21">
        <v>44492</v>
      </c>
      <c r="F663" s="20" t="str">
        <f t="shared" si="10"/>
        <v>休息日</v>
      </c>
    </row>
    <row r="664" spans="5:6">
      <c r="E664" s="21">
        <v>44493</v>
      </c>
      <c r="F664" s="20" t="str">
        <f t="shared" si="10"/>
        <v>休息日</v>
      </c>
    </row>
    <row r="665" spans="5:6">
      <c r="E665" s="21">
        <v>44494</v>
      </c>
      <c r="F665" s="20" t="str">
        <f t="shared" si="10"/>
        <v>工作日</v>
      </c>
    </row>
    <row r="666" spans="5:6">
      <c r="E666" s="21">
        <v>44495</v>
      </c>
      <c r="F666" s="20" t="str">
        <f t="shared" si="10"/>
        <v>工作日</v>
      </c>
    </row>
    <row r="667" spans="5:6">
      <c r="E667" s="21">
        <v>44496</v>
      </c>
      <c r="F667" s="20" t="str">
        <f t="shared" si="10"/>
        <v>工作日</v>
      </c>
    </row>
    <row r="668" spans="5:6">
      <c r="E668" s="21">
        <v>44497</v>
      </c>
      <c r="F668" s="20" t="str">
        <f t="shared" si="10"/>
        <v>工作日</v>
      </c>
    </row>
    <row r="669" spans="5:6">
      <c r="E669" s="21">
        <v>44498</v>
      </c>
      <c r="F669" s="20" t="str">
        <f t="shared" si="10"/>
        <v>工作日</v>
      </c>
    </row>
    <row r="670" spans="5:6">
      <c r="E670" s="21">
        <v>44499</v>
      </c>
      <c r="F670" s="20" t="str">
        <f t="shared" si="10"/>
        <v>休息日</v>
      </c>
    </row>
    <row r="671" spans="5:6">
      <c r="E671" s="21">
        <v>44500</v>
      </c>
      <c r="F671" s="20" t="str">
        <f t="shared" si="10"/>
        <v>休息日</v>
      </c>
    </row>
    <row r="672" spans="5:6">
      <c r="E672" s="21">
        <v>44501</v>
      </c>
      <c r="F672" s="20" t="str">
        <f t="shared" si="10"/>
        <v>工作日</v>
      </c>
    </row>
    <row r="673" spans="5:6">
      <c r="E673" s="21">
        <v>44502</v>
      </c>
      <c r="F673" s="20" t="str">
        <f t="shared" si="10"/>
        <v>工作日</v>
      </c>
    </row>
    <row r="674" spans="5:6">
      <c r="E674" s="21">
        <v>44503</v>
      </c>
      <c r="F674" s="20" t="str">
        <f t="shared" si="10"/>
        <v>工作日</v>
      </c>
    </row>
    <row r="675" spans="5:6">
      <c r="E675" s="21">
        <v>44504</v>
      </c>
      <c r="F675" s="20" t="str">
        <f t="shared" si="10"/>
        <v>工作日</v>
      </c>
    </row>
    <row r="676" spans="5:6">
      <c r="E676" s="21">
        <v>44505</v>
      </c>
      <c r="F676" s="20" t="str">
        <f t="shared" si="10"/>
        <v>工作日</v>
      </c>
    </row>
    <row r="677" spans="5:6">
      <c r="E677" s="21">
        <v>44506</v>
      </c>
      <c r="F677" s="20" t="str">
        <f t="shared" si="10"/>
        <v>休息日</v>
      </c>
    </row>
    <row r="678" spans="5:6">
      <c r="E678" s="21">
        <v>44507</v>
      </c>
      <c r="F678" s="20" t="str">
        <f t="shared" si="10"/>
        <v>休息日</v>
      </c>
    </row>
    <row r="679" spans="5:6">
      <c r="E679" s="21">
        <v>44508</v>
      </c>
      <c r="F679" s="20" t="str">
        <f t="shared" si="10"/>
        <v>工作日</v>
      </c>
    </row>
    <row r="680" spans="5:6">
      <c r="E680" s="21">
        <v>44509</v>
      </c>
      <c r="F680" s="20" t="str">
        <f t="shared" si="10"/>
        <v>工作日</v>
      </c>
    </row>
    <row r="681" spans="5:6">
      <c r="E681" s="21">
        <v>44510</v>
      </c>
      <c r="F681" s="20" t="str">
        <f t="shared" si="10"/>
        <v>工作日</v>
      </c>
    </row>
    <row r="682" spans="5:6">
      <c r="E682" s="21">
        <v>44511</v>
      </c>
      <c r="F682" s="20" t="str">
        <f t="shared" si="10"/>
        <v>工作日</v>
      </c>
    </row>
    <row r="683" spans="5:6">
      <c r="E683" s="21">
        <v>44512</v>
      </c>
      <c r="F683" s="20" t="str">
        <f t="shared" si="10"/>
        <v>工作日</v>
      </c>
    </row>
    <row r="684" spans="5:6">
      <c r="E684" s="21">
        <v>44513</v>
      </c>
      <c r="F684" s="20" t="str">
        <f t="shared" si="10"/>
        <v>休息日</v>
      </c>
    </row>
    <row r="685" spans="5:6">
      <c r="E685" s="21">
        <v>44514</v>
      </c>
      <c r="F685" s="20" t="str">
        <f t="shared" si="10"/>
        <v>休息日</v>
      </c>
    </row>
    <row r="686" spans="5:6">
      <c r="E686" s="21">
        <v>44515</v>
      </c>
      <c r="F686" s="20" t="str">
        <f t="shared" si="10"/>
        <v>工作日</v>
      </c>
    </row>
    <row r="687" spans="5:6">
      <c r="E687" s="21">
        <v>44516</v>
      </c>
      <c r="F687" s="20" t="str">
        <f t="shared" si="10"/>
        <v>工作日</v>
      </c>
    </row>
    <row r="688" spans="5:6">
      <c r="E688" s="21">
        <v>44517</v>
      </c>
      <c r="F688" s="20" t="str">
        <f t="shared" si="10"/>
        <v>工作日</v>
      </c>
    </row>
    <row r="689" spans="5:6">
      <c r="E689" s="21">
        <v>44518</v>
      </c>
      <c r="F689" s="20" t="str">
        <f t="shared" si="10"/>
        <v>工作日</v>
      </c>
    </row>
    <row r="690" spans="5:6">
      <c r="E690" s="21">
        <v>44519</v>
      </c>
      <c r="F690" s="20" t="str">
        <f t="shared" si="10"/>
        <v>工作日</v>
      </c>
    </row>
    <row r="691" spans="5:6">
      <c r="E691" s="21">
        <v>44520</v>
      </c>
      <c r="F691" s="20" t="str">
        <f t="shared" si="10"/>
        <v>休息日</v>
      </c>
    </row>
    <row r="692" spans="5:6">
      <c r="E692" s="21">
        <v>44521</v>
      </c>
      <c r="F692" s="20" t="str">
        <f t="shared" si="10"/>
        <v>休息日</v>
      </c>
    </row>
    <row r="693" spans="5:6">
      <c r="E693" s="21">
        <v>44522</v>
      </c>
      <c r="F693" s="20" t="str">
        <f t="shared" si="10"/>
        <v>工作日</v>
      </c>
    </row>
    <row r="694" spans="5:6">
      <c r="E694" s="21">
        <v>44523</v>
      </c>
      <c r="F694" s="20" t="str">
        <f t="shared" si="10"/>
        <v>工作日</v>
      </c>
    </row>
    <row r="695" spans="5:6">
      <c r="E695" s="21">
        <v>44524</v>
      </c>
      <c r="F695" s="20" t="str">
        <f t="shared" si="10"/>
        <v>工作日</v>
      </c>
    </row>
    <row r="696" spans="5:6">
      <c r="E696" s="21">
        <v>44525</v>
      </c>
      <c r="F696" s="20" t="str">
        <f t="shared" si="10"/>
        <v>工作日</v>
      </c>
    </row>
    <row r="697" spans="5:6">
      <c r="E697" s="21">
        <v>44526</v>
      </c>
      <c r="F697" s="20" t="str">
        <f t="shared" si="10"/>
        <v>工作日</v>
      </c>
    </row>
    <row r="698" spans="5:6">
      <c r="E698" s="21">
        <v>44527</v>
      </c>
      <c r="F698" s="20" t="str">
        <f t="shared" si="10"/>
        <v>休息日</v>
      </c>
    </row>
    <row r="699" spans="5:6">
      <c r="E699" s="21">
        <v>44528</v>
      </c>
      <c r="F699" s="20" t="str">
        <f t="shared" si="10"/>
        <v>休息日</v>
      </c>
    </row>
    <row r="700" spans="5:6">
      <c r="E700" s="21">
        <v>44529</v>
      </c>
      <c r="F700" s="20" t="str">
        <f t="shared" si="10"/>
        <v>工作日</v>
      </c>
    </row>
    <row r="701" spans="5:6">
      <c r="E701" s="21">
        <v>44530</v>
      </c>
      <c r="F701" s="20" t="str">
        <f t="shared" si="10"/>
        <v>工作日</v>
      </c>
    </row>
    <row r="702" spans="5:6">
      <c r="E702" s="21">
        <v>44531</v>
      </c>
      <c r="F702" s="20" t="str">
        <f t="shared" si="10"/>
        <v>工作日</v>
      </c>
    </row>
    <row r="703" spans="5:6">
      <c r="E703" s="21">
        <v>44532</v>
      </c>
      <c r="F703" s="20" t="str">
        <f t="shared" si="10"/>
        <v>工作日</v>
      </c>
    </row>
    <row r="704" spans="5:6">
      <c r="E704" s="21">
        <v>44533</v>
      </c>
      <c r="F704" s="20" t="str">
        <f t="shared" si="10"/>
        <v>工作日</v>
      </c>
    </row>
    <row r="705" spans="5:6">
      <c r="E705" s="21">
        <v>44534</v>
      </c>
      <c r="F705" s="20" t="str">
        <f t="shared" si="10"/>
        <v>休息日</v>
      </c>
    </row>
    <row r="706" spans="5:6">
      <c r="E706" s="21">
        <v>44535</v>
      </c>
      <c r="F706" s="20" t="str">
        <f t="shared" si="10"/>
        <v>休息日</v>
      </c>
    </row>
    <row r="707" spans="5:6">
      <c r="E707" s="21">
        <v>44536</v>
      </c>
      <c r="F707" s="20" t="str">
        <f t="shared" ref="F707:F732" si="11">IF(COUNTIF(B:B,E707)&gt;=1,"节假日",IF(WEEKDAY(E707,2)&gt;=6,IF(COUNTIF(C:C,E707)=0,"休息日","工作日"),"工作日"))</f>
        <v>工作日</v>
      </c>
    </row>
    <row r="708" spans="5:6">
      <c r="E708" s="21">
        <v>44537</v>
      </c>
      <c r="F708" s="20" t="str">
        <f t="shared" si="11"/>
        <v>工作日</v>
      </c>
    </row>
    <row r="709" spans="5:6">
      <c r="E709" s="21">
        <v>44538</v>
      </c>
      <c r="F709" s="20" t="str">
        <f t="shared" si="11"/>
        <v>工作日</v>
      </c>
    </row>
    <row r="710" spans="5:6">
      <c r="E710" s="21">
        <v>44539</v>
      </c>
      <c r="F710" s="20" t="str">
        <f t="shared" si="11"/>
        <v>工作日</v>
      </c>
    </row>
    <row r="711" spans="5:6">
      <c r="E711" s="21">
        <v>44540</v>
      </c>
      <c r="F711" s="20" t="str">
        <f t="shared" si="11"/>
        <v>工作日</v>
      </c>
    </row>
    <row r="712" spans="5:6">
      <c r="E712" s="21">
        <v>44541</v>
      </c>
      <c r="F712" s="20" t="str">
        <f t="shared" si="11"/>
        <v>休息日</v>
      </c>
    </row>
    <row r="713" spans="5:6">
      <c r="E713" s="21">
        <v>44542</v>
      </c>
      <c r="F713" s="20" t="str">
        <f t="shared" si="11"/>
        <v>休息日</v>
      </c>
    </row>
    <row r="714" spans="5:6">
      <c r="E714" s="21">
        <v>44543</v>
      </c>
      <c r="F714" s="20" t="str">
        <f t="shared" si="11"/>
        <v>工作日</v>
      </c>
    </row>
    <row r="715" spans="5:6">
      <c r="E715" s="21">
        <v>44544</v>
      </c>
      <c r="F715" s="20" t="str">
        <f t="shared" si="11"/>
        <v>工作日</v>
      </c>
    </row>
    <row r="716" spans="5:6">
      <c r="E716" s="21">
        <v>44545</v>
      </c>
      <c r="F716" s="20" t="str">
        <f t="shared" si="11"/>
        <v>工作日</v>
      </c>
    </row>
    <row r="717" spans="5:6">
      <c r="E717" s="21">
        <v>44546</v>
      </c>
      <c r="F717" s="20" t="str">
        <f t="shared" si="11"/>
        <v>工作日</v>
      </c>
    </row>
    <row r="718" spans="5:6">
      <c r="E718" s="21">
        <v>44547</v>
      </c>
      <c r="F718" s="20" t="str">
        <f t="shared" si="11"/>
        <v>工作日</v>
      </c>
    </row>
    <row r="719" spans="5:6">
      <c r="E719" s="21">
        <v>44548</v>
      </c>
      <c r="F719" s="20" t="str">
        <f t="shared" si="11"/>
        <v>休息日</v>
      </c>
    </row>
    <row r="720" spans="5:6">
      <c r="E720" s="21">
        <v>44549</v>
      </c>
      <c r="F720" s="20" t="str">
        <f t="shared" si="11"/>
        <v>休息日</v>
      </c>
    </row>
    <row r="721" spans="5:6">
      <c r="E721" s="21">
        <v>44550</v>
      </c>
      <c r="F721" s="20" t="str">
        <f t="shared" si="11"/>
        <v>工作日</v>
      </c>
    </row>
    <row r="722" spans="5:6">
      <c r="E722" s="21">
        <v>44551</v>
      </c>
      <c r="F722" s="20" t="str">
        <f t="shared" si="11"/>
        <v>工作日</v>
      </c>
    </row>
    <row r="723" spans="5:6">
      <c r="E723" s="21">
        <v>44552</v>
      </c>
      <c r="F723" s="20" t="str">
        <f t="shared" si="11"/>
        <v>工作日</v>
      </c>
    </row>
    <row r="724" spans="5:6">
      <c r="E724" s="21">
        <v>44553</v>
      </c>
      <c r="F724" s="20" t="str">
        <f t="shared" si="11"/>
        <v>工作日</v>
      </c>
    </row>
    <row r="725" spans="5:6">
      <c r="E725" s="21">
        <v>44554</v>
      </c>
      <c r="F725" s="20" t="str">
        <f t="shared" si="11"/>
        <v>工作日</v>
      </c>
    </row>
    <row r="726" spans="5:6">
      <c r="E726" s="21">
        <v>44555</v>
      </c>
      <c r="F726" s="20" t="str">
        <f t="shared" si="11"/>
        <v>休息日</v>
      </c>
    </row>
    <row r="727" spans="5:6">
      <c r="E727" s="21">
        <v>44556</v>
      </c>
      <c r="F727" s="20" t="str">
        <f t="shared" si="11"/>
        <v>休息日</v>
      </c>
    </row>
    <row r="728" spans="5:6">
      <c r="E728" s="21">
        <v>44557</v>
      </c>
      <c r="F728" s="20" t="str">
        <f t="shared" si="11"/>
        <v>工作日</v>
      </c>
    </row>
    <row r="729" spans="5:6">
      <c r="E729" s="21">
        <v>44558</v>
      </c>
      <c r="F729" s="20" t="str">
        <f t="shared" si="11"/>
        <v>工作日</v>
      </c>
    </row>
    <row r="730" spans="5:6">
      <c r="E730" s="21">
        <v>44559</v>
      </c>
      <c r="F730" s="20" t="str">
        <f t="shared" si="11"/>
        <v>工作日</v>
      </c>
    </row>
    <row r="731" spans="5:6">
      <c r="E731" s="21">
        <v>44560</v>
      </c>
      <c r="F731" s="20" t="str">
        <f t="shared" si="11"/>
        <v>工作日</v>
      </c>
    </row>
    <row r="732" spans="5:6">
      <c r="E732" s="21">
        <v>44561</v>
      </c>
      <c r="F732" s="20" t="str">
        <f t="shared" si="11"/>
        <v>工作日</v>
      </c>
    </row>
  </sheetData>
  <mergeCells count="14">
    <mergeCell ref="A53:A59"/>
    <mergeCell ref="A32:A38"/>
    <mergeCell ref="A39:A41"/>
    <mergeCell ref="A42:A46"/>
    <mergeCell ref="A47:A49"/>
    <mergeCell ref="A50:A52"/>
    <mergeCell ref="A29:A31"/>
    <mergeCell ref="A13:A17"/>
    <mergeCell ref="A23:A28"/>
    <mergeCell ref="I2:R23"/>
    <mergeCell ref="A3:A9"/>
    <mergeCell ref="A10:A12"/>
    <mergeCell ref="A18:A20"/>
    <mergeCell ref="A21:A22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发票明细</vt:lpstr>
      <vt:lpstr>招待申请单</vt:lpstr>
      <vt:lpstr>数据库</vt:lpstr>
      <vt:lpstr>计算模块</vt:lpstr>
      <vt:lpstr>节假日清单</vt:lpstr>
      <vt:lpstr>招待申请单!Print_Area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Weiqi Xing</cp:lastModifiedBy>
  <cp:lastPrinted>2021-07-31T13:29:37Z</cp:lastPrinted>
  <dcterms:created xsi:type="dcterms:W3CDTF">2015-06-05T18:19:34Z</dcterms:created>
  <dcterms:modified xsi:type="dcterms:W3CDTF">2021-07-31T15:07:59Z</dcterms:modified>
</cp:coreProperties>
</file>